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itorios\Ingenier-a-en-Internet-of-Things\06_modelo_demanda\"/>
    </mc:Choice>
  </mc:AlternateContent>
  <xr:revisionPtr revIDLastSave="0" documentId="13_ncr:1_{4DD68DC8-F8A7-4E71-A8DE-04E1C3BED9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éame" sheetId="1" r:id="rId1"/>
    <sheet name="SRI_LosRios" sheetId="2" r:id="rId2"/>
    <sheet name="INEC_LosRios" sheetId="3" r:id="rId3"/>
    <sheet name="SENESCYT_TIC" sheetId="4" r:id="rId4"/>
    <sheet name="Supuestos" sheetId="5" r:id="rId5"/>
    <sheet name="Demanda" sheetId="6" r:id="rId6"/>
    <sheet name="Oferta" sheetId="7" r:id="rId7"/>
    <sheet name="Brecha" sheetId="8" r:id="rId8"/>
    <sheet name="Sensibilidad" sheetId="9" r:id="rId9"/>
    <sheet name="Muestra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0" l="1"/>
  <c r="A19" i="10"/>
  <c r="A18" i="10"/>
  <c r="A17" i="10"/>
  <c r="A16" i="10"/>
  <c r="A15" i="10"/>
  <c r="A14" i="10"/>
  <c r="A13" i="10"/>
  <c r="A12" i="10"/>
  <c r="B17" i="7"/>
  <c r="B20" i="7" s="1"/>
  <c r="B16" i="7"/>
  <c r="B19" i="7" s="1"/>
  <c r="D6" i="7"/>
  <c r="C6" i="7"/>
  <c r="B6" i="7"/>
  <c r="A30" i="6"/>
  <c r="A28" i="6"/>
  <c r="A27" i="6"/>
  <c r="A26" i="6"/>
  <c r="A24" i="6"/>
  <c r="A13" i="6"/>
  <c r="A32" i="6" s="1"/>
  <c r="C12" i="6"/>
  <c r="A12" i="6"/>
  <c r="A31" i="6" s="1"/>
  <c r="A11" i="6"/>
  <c r="A10" i="6"/>
  <c r="A29" i="6" s="1"/>
  <c r="A9" i="6"/>
  <c r="A8" i="6"/>
  <c r="A7" i="6"/>
  <c r="A6" i="6"/>
  <c r="A25" i="6" s="1"/>
  <c r="A5" i="6"/>
  <c r="B31" i="5"/>
  <c r="B33" i="5" s="1"/>
  <c r="B5" i="7" s="1"/>
  <c r="B30" i="5"/>
  <c r="D33" i="5" s="1"/>
  <c r="D5" i="7" s="1"/>
  <c r="D7" i="7" s="1"/>
  <c r="B5" i="5"/>
  <c r="D22" i="4"/>
  <c r="D21" i="4"/>
  <c r="D20" i="4"/>
  <c r="D19" i="4"/>
  <c r="D18" i="4"/>
  <c r="D12" i="4"/>
  <c r="D11" i="4"/>
  <c r="D10" i="4"/>
  <c r="D9" i="4"/>
  <c r="D8" i="4"/>
  <c r="D7" i="4"/>
  <c r="D6" i="4"/>
  <c r="D5" i="4"/>
  <c r="E17" i="2"/>
  <c r="C17" i="2"/>
  <c r="B17" i="2"/>
  <c r="D16" i="2"/>
  <c r="D15" i="2"/>
  <c r="D14" i="2"/>
  <c r="D13" i="2"/>
  <c r="B20" i="10" s="1"/>
  <c r="D12" i="2"/>
  <c r="B19" i="10" s="1"/>
  <c r="D11" i="2"/>
  <c r="B11" i="6" s="1"/>
  <c r="D10" i="2"/>
  <c r="B17" i="10" s="1"/>
  <c r="D9" i="2"/>
  <c r="B9" i="6" s="1"/>
  <c r="D8" i="2"/>
  <c r="B15" i="10" s="1"/>
  <c r="D7" i="2"/>
  <c r="B7" i="6" s="1"/>
  <c r="D6" i="2"/>
  <c r="B6" i="6" s="1"/>
  <c r="D5" i="2"/>
  <c r="B5" i="6" s="1"/>
  <c r="B7" i="7" l="1"/>
  <c r="B16" i="10"/>
  <c r="B10" i="6"/>
  <c r="B12" i="6"/>
  <c r="D12" i="6" s="1"/>
  <c r="B18" i="10"/>
  <c r="D35" i="8"/>
  <c r="D36" i="8"/>
  <c r="D34" i="8"/>
  <c r="B14" i="6"/>
  <c r="H12" i="6"/>
  <c r="B31" i="6" s="1"/>
  <c r="G12" i="6"/>
  <c r="J12" i="6"/>
  <c r="F12" i="6"/>
  <c r="E12" i="6"/>
  <c r="I12" i="6"/>
  <c r="B7" i="5"/>
  <c r="B8" i="5" s="1"/>
  <c r="D12" i="7"/>
  <c r="D11" i="7"/>
  <c r="B11" i="7"/>
  <c r="B12" i="7"/>
  <c r="B4" i="10"/>
  <c r="B8" i="10" s="1"/>
  <c r="B12" i="10"/>
  <c r="B21" i="10" s="1"/>
  <c r="B13" i="10"/>
  <c r="B8" i="6"/>
  <c r="B13" i="6"/>
  <c r="B18" i="7"/>
  <c r="D17" i="2"/>
  <c r="B6" i="5" s="1"/>
  <c r="C33" i="5"/>
  <c r="C5" i="7" s="1"/>
  <c r="C7" i="7" s="1"/>
  <c r="B14" i="10"/>
  <c r="C5" i="6" l="1"/>
  <c r="D5" i="6" s="1"/>
  <c r="C11" i="6"/>
  <c r="D11" i="6" s="1"/>
  <c r="C13" i="6"/>
  <c r="D13" i="6" s="1"/>
  <c r="C7" i="6"/>
  <c r="D7" i="6" s="1"/>
  <c r="C9" i="6"/>
  <c r="D9" i="6" s="1"/>
  <c r="C6" i="6"/>
  <c r="D6" i="6" s="1"/>
  <c r="C8" i="6"/>
  <c r="C10" i="6"/>
  <c r="D10" i="6" s="1"/>
  <c r="C20" i="10"/>
  <c r="D20" i="10" s="1"/>
  <c r="C14" i="10"/>
  <c r="D14" i="10" s="1"/>
  <c r="C13" i="10"/>
  <c r="D13" i="10" s="1"/>
  <c r="C18" i="10"/>
  <c r="D18" i="10" s="1"/>
  <c r="C12" i="10"/>
  <c r="C15" i="10"/>
  <c r="D15" i="10" s="1"/>
  <c r="C19" i="10"/>
  <c r="D19" i="10" s="1"/>
  <c r="C17" i="10"/>
  <c r="D17" i="10" s="1"/>
  <c r="C16" i="10"/>
  <c r="D16" i="10" s="1"/>
  <c r="D8" i="6"/>
  <c r="C35" i="8"/>
  <c r="C12" i="7"/>
  <c r="C34" i="8"/>
  <c r="C11" i="7"/>
  <c r="C36" i="8"/>
  <c r="C21" i="10" l="1"/>
  <c r="D12" i="10"/>
  <c r="D21" i="10" s="1"/>
  <c r="J10" i="6"/>
  <c r="I10" i="6"/>
  <c r="G10" i="6"/>
  <c r="H10" i="6"/>
  <c r="B29" i="6" s="1"/>
  <c r="F10" i="6"/>
  <c r="E10" i="6"/>
  <c r="E6" i="6"/>
  <c r="I6" i="6"/>
  <c r="J6" i="6"/>
  <c r="H6" i="6"/>
  <c r="B25" i="6" s="1"/>
  <c r="G6" i="6"/>
  <c r="F6" i="6"/>
  <c r="G9" i="6"/>
  <c r="I9" i="6"/>
  <c r="F9" i="6"/>
  <c r="E9" i="6"/>
  <c r="J9" i="6"/>
  <c r="H9" i="6"/>
  <c r="B28" i="6" s="1"/>
  <c r="E7" i="6"/>
  <c r="H7" i="6"/>
  <c r="B26" i="6" s="1"/>
  <c r="I7" i="6"/>
  <c r="G7" i="6"/>
  <c r="J7" i="6"/>
  <c r="F7" i="6"/>
  <c r="H13" i="6"/>
  <c r="B32" i="6" s="1"/>
  <c r="G13" i="6"/>
  <c r="E13" i="6"/>
  <c r="J13" i="6"/>
  <c r="F13" i="6"/>
  <c r="I13" i="6"/>
  <c r="I11" i="6"/>
  <c r="F11" i="6"/>
  <c r="H11" i="6"/>
  <c r="B30" i="6" s="1"/>
  <c r="E11" i="6"/>
  <c r="G11" i="6"/>
  <c r="J11" i="6"/>
  <c r="J8" i="6"/>
  <c r="F8" i="6"/>
  <c r="I8" i="6"/>
  <c r="H8" i="6"/>
  <c r="B27" i="6" s="1"/>
  <c r="G8" i="6"/>
  <c r="E8" i="6"/>
  <c r="I5" i="6"/>
  <c r="H5" i="6"/>
  <c r="G5" i="6"/>
  <c r="J5" i="6"/>
  <c r="F5" i="6"/>
  <c r="D14" i="6"/>
  <c r="E5" i="6"/>
  <c r="F14" i="6" l="1"/>
  <c r="C18" i="6" s="1"/>
  <c r="J14" i="6"/>
  <c r="C20" i="6" s="1"/>
  <c r="B24" i="6"/>
  <c r="C26" i="6" s="1"/>
  <c r="H14" i="6"/>
  <c r="C29" i="6"/>
  <c r="I14" i="6"/>
  <c r="B20" i="6" s="1"/>
  <c r="C32" i="6"/>
  <c r="C27" i="6"/>
  <c r="E14" i="6"/>
  <c r="B18" i="6" s="1"/>
  <c r="G14" i="6"/>
  <c r="B19" i="6" s="1"/>
  <c r="C30" i="6" l="1"/>
  <c r="D7" i="8"/>
  <c r="C7" i="8"/>
  <c r="D13" i="8"/>
  <c r="C13" i="8"/>
  <c r="B7" i="8"/>
  <c r="B13" i="8"/>
  <c r="D15" i="8"/>
  <c r="B15" i="8"/>
  <c r="D9" i="8"/>
  <c r="B9" i="8"/>
  <c r="C15" i="8"/>
  <c r="C9" i="8"/>
  <c r="C19" i="6"/>
  <c r="B4" i="9"/>
  <c r="C24" i="6"/>
  <c r="C31" i="6"/>
  <c r="D21" i="8"/>
  <c r="C21" i="8"/>
  <c r="D18" i="6"/>
  <c r="B34" i="8" s="1"/>
  <c r="D27" i="8"/>
  <c r="B21" i="8"/>
  <c r="C27" i="8"/>
  <c r="B27" i="8"/>
  <c r="C25" i="6"/>
  <c r="C14" i="8"/>
  <c r="B14" i="8"/>
  <c r="C8" i="8"/>
  <c r="D14" i="8"/>
  <c r="D8" i="8"/>
  <c r="B8" i="8"/>
  <c r="B23" i="8"/>
  <c r="D20" i="6"/>
  <c r="B36" i="8" s="1"/>
  <c r="C29" i="8"/>
  <c r="D29" i="8"/>
  <c r="B29" i="8"/>
  <c r="D23" i="8"/>
  <c r="C23" i="8"/>
  <c r="C28" i="6"/>
  <c r="F36" i="8" l="1"/>
  <c r="E36" i="8"/>
  <c r="F34" i="8"/>
  <c r="E34" i="8"/>
  <c r="D19" i="6"/>
  <c r="B35" i="8" s="1"/>
  <c r="D28" i="8"/>
  <c r="C28" i="8"/>
  <c r="D22" i="8"/>
  <c r="B22" i="8"/>
  <c r="C22" i="8"/>
  <c r="B28" i="8"/>
  <c r="B11" i="9"/>
  <c r="E8" i="9"/>
  <c r="C8" i="9"/>
  <c r="E7" i="9"/>
  <c r="E11" i="9"/>
  <c r="E10" i="9"/>
  <c r="C10" i="9"/>
  <c r="B10" i="9"/>
  <c r="E9" i="9"/>
  <c r="D9" i="9"/>
  <c r="C9" i="9"/>
  <c r="D8" i="9"/>
  <c r="C7" i="9"/>
  <c r="B7" i="9"/>
  <c r="D11" i="9"/>
  <c r="D10" i="9"/>
  <c r="B9" i="9"/>
  <c r="B8" i="9"/>
  <c r="D7" i="9"/>
  <c r="C11" i="9"/>
  <c r="F35" i="8" l="1"/>
  <c r="E35" i="8"/>
</calcChain>
</file>

<file path=xl/sharedStrings.xml><?xml version="1.0" encoding="utf-8"?>
<sst xmlns="http://schemas.openxmlformats.org/spreadsheetml/2006/main" count="267" uniqueCount="211">
  <si>
    <t>Modelo de demanda y oferta de profesionales IoT en Los Ríos</t>
  </si>
  <si>
    <t>Borrador de trabajo para el proyecto de carrera de Ingeniería en Internet de las Cosas (UTEQ). Consulta de datos: 26-IX-2026.</t>
  </si>
  <si>
    <t>Qué es</t>
  </si>
  <si>
    <t>Un ejercicio de dimensionamiento con tres escenarios. Cruza empresas formales de Los Ríos (SRI e INEC) con supuestos de adopción y contratación de perfiles IoT, y lo compara con la oferta de graduados TIC.</t>
  </si>
  <si>
    <t>Qué NO es</t>
  </si>
  <si>
    <t>No es una proyección estadística. Ninguna fuente oficial publica la adopción de IoT por sector en Ecuador; esos porcentajes son supuestos de trabajo. Deben sustituirse con la encuesta a empleadores antes de presentar el proyecto al CES.</t>
  </si>
  <si>
    <t>Código de color</t>
  </si>
  <si>
    <t>Celdas amarillas = supuestos que usted puede cambiar. Celdas blancas = datos observados o fórmulas. Todo el modelo se recalcula al editar una celda amarilla.</t>
  </si>
  <si>
    <t>Hojas</t>
  </si>
  <si>
    <t>SRI_LosRios, INEC_LosRios y SENESCYT_TIC: datos observados. Supuestos: entradas. Demanda, Oferta, Brecha y Sensibilidad: cálculos.</t>
  </si>
  <si>
    <t>Horizonte</t>
  </si>
  <si>
    <t>Año base 2026. "4 años" = 2030 y "5 años" = 2031. Con ingreso en 2027 y 8 períodos, la primera promoción de la carrera se gradúa en 2031.</t>
  </si>
  <si>
    <t>Fuentes</t>
  </si>
  <si>
    <t>SRI: catastro RUC de Los Ríos (datos abiertos, actualizado el 1-IX-2026). INEC: Registro Estadístico de Empresas 2025, ENEMDU anual 2025, Censo 2022. SENESCYT: tableros de matrícula UEP y de títulos nacionales, y graduados TIC 2020 y 2021 de la Política de Transformación Digital 2025-2030 (MINTEL). UTEQ: informe de rendición de cuentas 2024.</t>
  </si>
  <si>
    <t>Límites de los datos</t>
  </si>
  <si>
    <t>El catastro RUC no trae tamaño de empresa; se usa "sociedad o persona natural obligada a llevar contabilidad" como aproximación de empresa formal. La matrícula y los títulos TIC de la SENESCYT se leyeron de sus tableros públicos (la base de datos abiertos no estaba disponible). La serie de títulos TIC por provincia y año no se pudo extraer completa: se usa 2024 y el acumulado; la oferta de graduados se estima a partir de la matrícula.</t>
  </si>
  <si>
    <t>Privacidad</t>
  </si>
  <si>
    <t>El catastro RUC incluye nombres de personas naturales. Este libro solo contiene conteos agregados.</t>
  </si>
  <si>
    <t>Contribuyentes activos de Los Ríos (SRI, catastro RUC)</t>
  </si>
  <si>
    <t>Fuente: SRI, datos abiertos, "Registro Único de Contribuyentes / Los Ríos", actualizado el 1-IX-2026. Un RUC se cuenta una vez, con la CIIU de su establecimiento matriz.</t>
  </si>
  <si>
    <t>Grupo de actividad (CIIU Rev. 4.1)</t>
  </si>
  <si>
    <t>Sociedades activas</t>
  </si>
  <si>
    <t>Personas naturales obligadas a contabilidad</t>
  </si>
  <si>
    <t>Empresas formales</t>
  </si>
  <si>
    <t>Total RUC activos (incluye no obligados)</t>
  </si>
  <si>
    <t>G1 Agricultura, ganadería y silvicultura</t>
  </si>
  <si>
    <t>G2 Pesca y acuicultura</t>
  </si>
  <si>
    <t>G3 Alimentos y bebidas (agroindustria)</t>
  </si>
  <si>
    <t>G4 Otras manufacturas</t>
  </si>
  <si>
    <t>G5 Energía, agua y saneamiento</t>
  </si>
  <si>
    <t>G6 Transporte y almacenamiento</t>
  </si>
  <si>
    <t>G7 Comercio al por mayor</t>
  </si>
  <si>
    <t>G8 Administración pública (GAD y entidades)</t>
  </si>
  <si>
    <t>G9 Proveedores tecnológicos (TIC, ingeniería, I+D)</t>
  </si>
  <si>
    <t>G10 Construcción</t>
  </si>
  <si>
    <t>G11 Salud</t>
  </si>
  <si>
    <t>Otros sectores</t>
  </si>
  <si>
    <t>Total</t>
  </si>
  <si>
    <t>Empresas formales de las secciones O, P, Q y U (excluidas del universo "actividades productivas" del INEC)</t>
  </si>
  <si>
    <t>Administración pública (O), Enseñanza (P), Salud (Q) y otras (U)</t>
  </si>
  <si>
    <t>O = 96, P = 119, Q = 201, U = 0 (cálculo propio sobre el catastro)</t>
  </si>
  <si>
    <t>Empresas formales de los grupos objetivo por cantón</t>
  </si>
  <si>
    <t>Cantón</t>
  </si>
  <si>
    <t>Empresas formales en grupos G1 a G9</t>
  </si>
  <si>
    <t>Quevedo</t>
  </si>
  <si>
    <t>Babahoyo</t>
  </si>
  <si>
    <t>Ventanas</t>
  </si>
  <si>
    <t>Buena Fe</t>
  </si>
  <si>
    <t>Vinces</t>
  </si>
  <si>
    <t>Valencia</t>
  </si>
  <si>
    <t>Pueblo Viejo</t>
  </si>
  <si>
    <t>Mocache</t>
  </si>
  <si>
    <t>Baba</t>
  </si>
  <si>
    <t>Montalvo</t>
  </si>
  <si>
    <t>Quinsaloma</t>
  </si>
  <si>
    <t>Urdaneta</t>
  </si>
  <si>
    <t>Palenque</t>
  </si>
  <si>
    <t>Altas de sociedades por año de inicio de actividades (RUC hoy activos)</t>
  </si>
  <si>
    <t>Año</t>
  </si>
  <si>
    <t>Sociedades activas que iniciaron ese año</t>
  </si>
  <si>
    <t>2026 (parcial)</t>
  </si>
  <si>
    <t>Nota: incluye solo RUC que siguen activos, por lo que los años antiguos están subestimados.</t>
  </si>
  <si>
    <t>Indicadores del INEC para Los Ríos</t>
  </si>
  <si>
    <t>Fuentes: REEM 2025, ENEMDU anual 2025, Censo de Población 2022.</t>
  </si>
  <si>
    <t>Indicador</t>
  </si>
  <si>
    <t>Los Ríos</t>
  </si>
  <si>
    <t>Nacional</t>
  </si>
  <si>
    <t>Fuente</t>
  </si>
  <si>
    <t>Empresas del universo REEM, 2025</t>
  </si>
  <si>
    <t>REEM 2025, cuadro 1.1.8</t>
  </si>
  <si>
    <t>Empresas con actividades productivas (ventas y empleo IESS), 2025</t>
  </si>
  <si>
    <t>REEM 2025, cuadro 2.1.7</t>
  </si>
  <si>
    <t>Empleo registrado equivalente (IESS), 2025</t>
  </si>
  <si>
    <t>REEM 2025, cuadro 1.3.18</t>
  </si>
  <si>
    <t>Empleo adecuado o pleno, 2025 (%)</t>
  </si>
  <si>
    <t>ENEMDU anual 2025, tabla 5 y sección 1.4.1</t>
  </si>
  <si>
    <t>Subempleo, 2025 (%)</t>
  </si>
  <si>
    <t>ENEMDU anual 2025, tabla 6</t>
  </si>
  <si>
    <t>Desempleo, 2025 (%)</t>
  </si>
  <si>
    <t>ENEMDU anual 2025, tabla 3 y sección 1.1</t>
  </si>
  <si>
    <t>Población, Censo 2022</t>
  </si>
  <si>
    <t>INEC, Censo 2022 (Los Ríos, cuarta provincia más poblada)</t>
  </si>
  <si>
    <t>Matrícula y títulos TIC (SENESCYT)</t>
  </si>
  <si>
    <t>Fuente: tableros públicos de la SENESCYT (Registro de matrícula UEP y Títulos nacionales), consultados el 26-IX-2026. Campo de estudio "Tecnologías de la información y la comunicación".</t>
  </si>
  <si>
    <t>Matrícula total UEP en Los Ríos</t>
  </si>
  <si>
    <t>Matrícula TIC UEP en Los Ríos</t>
  </si>
  <si>
    <t>% TIC</t>
  </si>
  <si>
    <t>Antes de 2018 el tablero no registra matrícula en el campo TIC en Los Ríos (efecto de la clasificación por campos vigente).</t>
  </si>
  <si>
    <t>Provincia</t>
  </si>
  <si>
    <t>Matrícula UEP 2022</t>
  </si>
  <si>
    <t>Matrícula TIC UEP 2022</t>
  </si>
  <si>
    <t>% TIC 2022</t>
  </si>
  <si>
    <t>Títulos registrados 2024, todos</t>
  </si>
  <si>
    <t>Títulos TIC 2024, todos los niveles</t>
  </si>
  <si>
    <t>Guayas</t>
  </si>
  <si>
    <t>Bolívar</t>
  </si>
  <si>
    <t>Santo Domingo de los Tsáchilas</t>
  </si>
  <si>
    <t>Títulos TIC registrados entre 2013 y 2024 (acumulado, todos los niveles): Guayas 5.597; Los Ríos 518; Santo Domingo 319. Bolívar no aparece entre las 14 provincias con más títulos TIC.</t>
  </si>
  <si>
    <t>Títulos nacionales, todos los campos</t>
  </si>
  <si>
    <t>Títulos nacionales TIC</t>
  </si>
  <si>
    <t>Cautela: los títulos TIC de años anteriores a 2022 están subregistrados por la clasificación por campos; la Política del MINTEL cita 7.476 graduados TIC en 2021 frente a 1.797 en este tablero.</t>
  </si>
  <si>
    <t>Supuestos del modelo (celdas amarillas: editables)</t>
  </si>
  <si>
    <t>Sin fuente oficial. Son valores de trabajo para dimensionar; sustitúyalos con los resultados de la encuesta a empleadores.</t>
  </si>
  <si>
    <t>1. Factor de empresas operativas</t>
  </si>
  <si>
    <t>Empresas INEC con ventas y empleo IESS (Los Ríos, 2025)</t>
  </si>
  <si>
    <t>Empresas formales SRI sin secciones O, P, Q y U</t>
  </si>
  <si>
    <t>Factor operativo calculado (INEC / SRI)</t>
  </si>
  <si>
    <t>Aproximado: las definiciones de INEC y SRI no coinciden exactamente.</t>
  </si>
  <si>
    <t>Factor operativo que usa el modelo (por defecto, el calculado, redondeado)</t>
  </si>
  <si>
    <t>Factor operativo del sector público (los GAD operan)</t>
  </si>
  <si>
    <t>2. Adopción: % de empresas operativas que contratan al menos un perfil IoT</t>
  </si>
  <si>
    <t>Grupo</t>
  </si>
  <si>
    <t>Conservador 2030</t>
  </si>
  <si>
    <t>Conservador 2031</t>
  </si>
  <si>
    <t>Base 2030</t>
  </si>
  <si>
    <t>Base 2031</t>
  </si>
  <si>
    <t>Optimista 2030</t>
  </si>
  <si>
    <t>Optimista 2031</t>
  </si>
  <si>
    <t>Los porcentajes de la hoja de adopción son supuestos del equipo, sin fuente oficial.</t>
  </si>
  <si>
    <t>3. Profesionales IoT por empresa que adopta</t>
  </si>
  <si>
    <t>Conservador</t>
  </si>
  <si>
    <t>Base</t>
  </si>
  <si>
    <t>Optimista</t>
  </si>
  <si>
    <t>Profesionales por empresa adoptante</t>
  </si>
  <si>
    <t>Profesionales IoT que ya trabajan en las empresas en 2026</t>
  </si>
  <si>
    <t>4. Oferta de graduados TIC en Los Ríos</t>
  </si>
  <si>
    <t>Matrícula TIC en IES de Los Ríos, 2023 (SENESCYT)</t>
  </si>
  <si>
    <t>Títulos TIC registrados en 2024 por IES de Los Ríos, todos los niveles (SENESCYT)</t>
  </si>
  <si>
    <t>Oferta baja</t>
  </si>
  <si>
    <t>Oferta base</t>
  </si>
  <si>
    <t>Oferta alta</t>
  </si>
  <si>
    <t>Graduados TIC por año que salen de IES de Los Ríos</t>
  </si>
  <si>
    <t>Baja: títulos TIC registrados en 2024. Base: matrícula TIC 2023 entre la duración media de la carrera, por la tasa de titulación. Alta: matrícula TIC 2023 entre la duración media, si todos se titularan.</t>
  </si>
  <si>
    <t>% de esos graduados con competencias útiles para IoT</t>
  </si>
  <si>
    <t>5. La carrera propuesta</t>
  </si>
  <si>
    <t>Estudiantes por cohorte</t>
  </si>
  <si>
    <t>Tasa de titulación (UTEQ, cohorte 2018-2019)</t>
  </si>
  <si>
    <t>Año del primer ingreso</t>
  </si>
  <si>
    <t>Duración de la carrera en años</t>
  </si>
  <si>
    <t>Demanda estimada de profesionales IoT en Los Ríos</t>
  </si>
  <si>
    <t>Puestos = empresas formales × factor operativo × % que adopta × profesionales por empresa. Es un stock acumulado al año indicado.</t>
  </si>
  <si>
    <t>Empresas formales (SRI)</t>
  </si>
  <si>
    <t>Factor operativo</t>
  </si>
  <si>
    <t>Empresas operativas</t>
  </si>
  <si>
    <t>Adoptan Cons. 2030</t>
  </si>
  <si>
    <t>Adoptan Cons. 2031</t>
  </si>
  <si>
    <t>Adoptan Base 2030</t>
  </si>
  <si>
    <t>Adoptan Base 2031</t>
  </si>
  <si>
    <t>Adoptan Opt. 2030</t>
  </si>
  <si>
    <t>Adoptan Opt. 2031</t>
  </si>
  <si>
    <t>Total empresas que adoptan</t>
  </si>
  <si>
    <t>Puestos de perfil IoT (stock acumulado)</t>
  </si>
  <si>
    <t>Escenario</t>
  </si>
  <si>
    <t>A 4 años (2030)</t>
  </si>
  <si>
    <t>A 5 años (2031)</t>
  </si>
  <si>
    <t>Promedio anual nuevo 2027-2031</t>
  </si>
  <si>
    <t>Por grupo, escenario base 2031 (puestos)</t>
  </si>
  <si>
    <t>Puestos base 2031</t>
  </si>
  <si>
    <t>% del total</t>
  </si>
  <si>
    <t>Oferta de profesionales con perfil IoT en Los Ríos</t>
  </si>
  <si>
    <t>Sin la carrera: graduados TIC de IES de Los Ríos con competencias IoT. Con la carrera: se suma su promoción desde el primer año de graduación.</t>
  </si>
  <si>
    <t>Concepto</t>
  </si>
  <si>
    <t>Graduados TIC por año en IES de Los Ríos</t>
  </si>
  <si>
    <t>% con competencias útiles para IoT</t>
  </si>
  <si>
    <t>Graduados con perfil IoT por año (sin la carrera)</t>
  </si>
  <si>
    <t>Acumulado de graduados con perfil IoT sin la carrera</t>
  </si>
  <si>
    <t>Período</t>
  </si>
  <si>
    <t>2027-2030 (4 años)</t>
  </si>
  <si>
    <t>2027-2031 (5 años)</t>
  </si>
  <si>
    <t>Graduados de la carrera propuesta</t>
  </si>
  <si>
    <t>Valor</t>
  </si>
  <si>
    <t>Primer año de graduación</t>
  </si>
  <si>
    <t>Graduados por promoción</t>
  </si>
  <si>
    <t>Graduados acumulados hasta 2030</t>
  </si>
  <si>
    <t>Graduados acumulados hasta 2031</t>
  </si>
  <si>
    <t>Graduados por año desde el segundo año de graduación</t>
  </si>
  <si>
    <t>Brecha entre demanda y oferta de perfiles IoT en Los Ríos</t>
  </si>
  <si>
    <t>Brecha = puestos demandados − graduados con perfil IoT disponibles. Positiva: faltan profesionales.</t>
  </si>
  <si>
    <t>Horizonte A 4 años (2030)</t>
  </si>
  <si>
    <t>Sin la carrera</t>
  </si>
  <si>
    <t>Demanda \ Oferta</t>
  </si>
  <si>
    <t>Demanda conservador</t>
  </si>
  <si>
    <t>Demanda base</t>
  </si>
  <si>
    <t>Demanda optimista</t>
  </si>
  <si>
    <t>Con la carrera</t>
  </si>
  <si>
    <t>Horizonte A 5 años (2031)</t>
  </si>
  <si>
    <t>Flujo anual en régimen (desde 2032, con la carrera funcionando)</t>
  </si>
  <si>
    <t>Puestos nuevos por año</t>
  </si>
  <si>
    <t>Graduados IoT por año sin la carrera (oferta base)</t>
  </si>
  <si>
    <t>Graduados por año de la carrera</t>
  </si>
  <si>
    <t>Cobertura sin la carrera</t>
  </si>
  <si>
    <t>Cobertura con la carrera</t>
  </si>
  <si>
    <t>Cobertura mayor a 100 %: la oferta supera los puestos nuevos, lo que sería sobreoferta.</t>
  </si>
  <si>
    <t>Sensibilidad de la demanda a 5 años (2031)</t>
  </si>
  <si>
    <t>Puestos IoT si la adopción base se multiplica por un factor y cambia el número de profesionales por empresa adoptante.</t>
  </si>
  <si>
    <t>Empresas que adoptan en 2031, escenario base</t>
  </si>
  <si>
    <t>Multiplicador de adopción \ profesionales por empresa</t>
  </si>
  <si>
    <t>Lectura: la fila 1,00x y la columna 1,5 reproducen el escenario base. Compare con los graduados por año de la hoja Brecha.</t>
  </si>
  <si>
    <t>Marco muestral y asignación de la encuesta a empleadores</t>
  </si>
  <si>
    <t>Marco: empresas formales de los grupos G1 a G9 del catastro RUC del SRI. Asignación proporcional por grupo con un mínimo por estrato.</t>
  </si>
  <si>
    <t>Población N (empresas formales G1 a G9)</t>
  </si>
  <si>
    <t>Nivel de confianza (z)</t>
  </si>
  <si>
    <t>Error máximo (e)</t>
  </si>
  <si>
    <t>Proporción esperada (p)</t>
  </si>
  <si>
    <t>Tamaño de muestra n</t>
  </si>
  <si>
    <t>Mínimo por estrato</t>
  </si>
  <si>
    <t>Grupo (estrato)</t>
  </si>
  <si>
    <t>Empresas formales Nh</t>
  </si>
  <si>
    <t>Muestra proporcional</t>
  </si>
  <si>
    <t>Muestra con mínimo</t>
  </si>
  <si>
    <t>Los estratos pequeños se encuestan casi completos (censo) por el mínimo; por eso el total con mínimo supera a n. Se recomienda además estratificar por cantón con las cifras de la hoja SRI_LosRios.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</si>
</sst>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0.0%"/>
    <numFmt numFmtId="166" formatCode="0.0"/>
    <numFmt numFmtId="167" formatCode="#,##0;[Red]\-#,##0"/>
    <numFmt numFmtId="168" formatCode="0.00&quot;x&quot;"/>
  </numFmts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0"/>
      <name val="Calibri"/>
    </font>
    <font>
      <b/>
      <sz val="11"/>
      <name val="Calibri"/>
    </font>
    <font>
      <b/>
      <sz val="11"/>
      <color rgb="FFFFFFFF"/>
      <name val="Calibri"/>
    </font>
    <font>
      <i/>
      <sz val="9"/>
      <name val="Calibri"/>
    </font>
    <font>
      <b/>
      <sz val="12"/>
      <color rgb="FF1F4E7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0" fontId="3" fillId="0" borderId="1" xfId="0" applyFont="1" applyBorder="1"/>
    <xf numFmtId="3" fontId="3" fillId="0" borderId="1" xfId="0" applyNumberFormat="1" applyFont="1" applyBorder="1"/>
    <xf numFmtId="0" fontId="5" fillId="0" borderId="0" xfId="0" applyFont="1"/>
    <xf numFmtId="164" fontId="0" fillId="0" borderId="1" xfId="0" applyNumberFormat="1" applyBorder="1"/>
    <xf numFmtId="165" fontId="0" fillId="0" borderId="1" xfId="0" applyNumberFormat="1" applyBorder="1"/>
    <xf numFmtId="165" fontId="0" fillId="3" borderId="1" xfId="0" applyNumberFormat="1" applyFill="1" applyBorder="1"/>
    <xf numFmtId="166" fontId="0" fillId="3" borderId="1" xfId="0" applyNumberFormat="1" applyFill="1" applyBorder="1"/>
    <xf numFmtId="3" fontId="0" fillId="3" borderId="1" xfId="0" applyNumberFormat="1" applyFill="1" applyBorder="1"/>
    <xf numFmtId="1" fontId="0" fillId="3" borderId="1" xfId="0" applyNumberFormat="1" applyFill="1" applyBorder="1"/>
    <xf numFmtId="9" fontId="0" fillId="0" borderId="1" xfId="0" applyNumberFormat="1" applyBorder="1"/>
    <xf numFmtId="164" fontId="3" fillId="0" borderId="1" xfId="0" applyNumberFormat="1" applyFont="1" applyBorder="1"/>
    <xf numFmtId="1" fontId="0" fillId="0" borderId="1" xfId="0" applyNumberFormat="1" applyBorder="1"/>
    <xf numFmtId="0" fontId="6" fillId="0" borderId="0" xfId="0" applyFont="1"/>
    <xf numFmtId="167" fontId="0" fillId="0" borderId="1" xfId="0" applyNumberFormat="1" applyBorder="1"/>
    <xf numFmtId="166" fontId="4" fillId="2" borderId="1" xfId="0" applyNumberFormat="1" applyFont="1" applyFill="1" applyBorder="1" applyAlignment="1">
      <alignment horizontal="center" vertical="center" wrapText="1"/>
    </xf>
    <xf numFmtId="168" fontId="0" fillId="3" borderId="1" xfId="0" applyNumberFormat="1" applyFill="1" applyBorder="1"/>
    <xf numFmtId="2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Puestos nuevos por año y graduados IoT por año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Brecha!$B$33</c:f>
              <c:strCache>
                <c:ptCount val="1"/>
                <c:pt idx="0">
                  <c:v>Puestos nuevos por año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Brecha!$A$34:$A$36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Optimista</c:v>
                </c:pt>
              </c:strCache>
            </c:strRef>
          </c:cat>
          <c:val>
            <c:numRef>
              <c:f>Brecha!$B$34:$B$36</c:f>
              <c:numCache>
                <c:formatCode>#,##0.0</c:formatCode>
                <c:ptCount val="3"/>
                <c:pt idx="0">
                  <c:v>9.9262499999999996</c:v>
                </c:pt>
                <c:pt idx="1">
                  <c:v>32.943149999999996</c:v>
                </c:pt>
                <c:pt idx="2">
                  <c:v>74.849999999999994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58-4161-A057-99F331B91AFB}"/>
            </c:ext>
          </c:extLst>
        </c:ser>
        <c:ser>
          <c:idx val="1"/>
          <c:order val="1"/>
          <c:tx>
            <c:strRef>
              <c:f>Brecha!$C$33</c:f>
              <c:strCache>
                <c:ptCount val="1"/>
                <c:pt idx="0">
                  <c:v>Graduados IoT por año sin la carrera (oferta base)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Brecha!$A$34:$A$36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Optimista</c:v>
                </c:pt>
              </c:strCache>
            </c:strRef>
          </c:cat>
          <c:val>
            <c:numRef>
              <c:f>Brecha!$C$34:$C$36</c:f>
              <c:numCache>
                <c:formatCode>#,##0.0</c:formatCode>
                <c:ptCount val="3"/>
                <c:pt idx="0">
                  <c:v>7.8000000000000007</c:v>
                </c:pt>
                <c:pt idx="1">
                  <c:v>7.8000000000000007</c:v>
                </c:pt>
                <c:pt idx="2">
                  <c:v>7.8000000000000007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58-4161-A057-99F331B91AFB}"/>
            </c:ext>
          </c:extLst>
        </c:ser>
        <c:ser>
          <c:idx val="2"/>
          <c:order val="2"/>
          <c:tx>
            <c:strRef>
              <c:f>Brecha!$D$33</c:f>
              <c:strCache>
                <c:ptCount val="1"/>
                <c:pt idx="0">
                  <c:v>Graduados por año de la carrera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Brecha!$A$34:$A$36</c:f>
              <c:strCache>
                <c:ptCount val="3"/>
                <c:pt idx="0">
                  <c:v>Conservador</c:v>
                </c:pt>
                <c:pt idx="1">
                  <c:v>Base</c:v>
                </c:pt>
                <c:pt idx="2">
                  <c:v>Optimista</c:v>
                </c:pt>
              </c:strCache>
            </c:strRef>
          </c:cat>
          <c:val>
            <c:numRef>
              <c:f>Brecha!$D$34:$D$36</c:f>
              <c:numCache>
                <c:formatCode>#,##0.0</c:formatCode>
                <c:ptCount val="3"/>
                <c:pt idx="0">
                  <c:v>24.384</c:v>
                </c:pt>
                <c:pt idx="1">
                  <c:v>24.384</c:v>
                </c:pt>
                <c:pt idx="2">
                  <c:v>24.384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58-4161-A057-99F331B91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Personas por año</a:t>
                </a:r>
              </a:p>
            </c:rich>
          </c:tx>
          <c:overlay val="1"/>
        </c:title>
        <c:numFmt formatCode="#,##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39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baseColWidth="10" defaultColWidth="8.88671875" defaultRowHeight="14.4" x14ac:dyDescent="0.3"/>
  <cols>
    <col min="1" max="1" width="22" customWidth="1"/>
    <col min="2" max="2" width="120" customWidth="1"/>
  </cols>
  <sheetData>
    <row r="1" spans="1:2" ht="18" x14ac:dyDescent="0.35">
      <c r="A1" s="1" t="s">
        <v>0</v>
      </c>
    </row>
    <row r="2" spans="1:2" x14ac:dyDescent="0.3">
      <c r="A2" s="2" t="s">
        <v>1</v>
      </c>
    </row>
    <row r="4" spans="1:2" ht="61.95" customHeight="1" x14ac:dyDescent="0.3">
      <c r="A4" s="3" t="s">
        <v>2</v>
      </c>
      <c r="B4" s="4" t="s">
        <v>3</v>
      </c>
    </row>
    <row r="5" spans="1:2" ht="61.95" customHeight="1" x14ac:dyDescent="0.3">
      <c r="A5" s="3" t="s">
        <v>4</v>
      </c>
      <c r="B5" s="4" t="s">
        <v>5</v>
      </c>
    </row>
    <row r="6" spans="1:2" ht="61.95" customHeight="1" x14ac:dyDescent="0.3">
      <c r="A6" s="3" t="s">
        <v>6</v>
      </c>
      <c r="B6" s="4" t="s">
        <v>7</v>
      </c>
    </row>
    <row r="7" spans="1:2" ht="61.95" customHeight="1" x14ac:dyDescent="0.3">
      <c r="A7" s="3" t="s">
        <v>8</v>
      </c>
      <c r="B7" s="4" t="s">
        <v>9</v>
      </c>
    </row>
    <row r="8" spans="1:2" ht="61.95" customHeight="1" x14ac:dyDescent="0.3">
      <c r="A8" s="3" t="s">
        <v>10</v>
      </c>
      <c r="B8" s="4" t="s">
        <v>11</v>
      </c>
    </row>
    <row r="9" spans="1:2" ht="61.95" customHeight="1" x14ac:dyDescent="0.3">
      <c r="A9" s="3" t="s">
        <v>12</v>
      </c>
      <c r="B9" s="4" t="s">
        <v>13</v>
      </c>
    </row>
    <row r="10" spans="1:2" ht="61.95" customHeight="1" x14ac:dyDescent="0.3">
      <c r="A10" s="3" t="s">
        <v>14</v>
      </c>
      <c r="B10" s="4" t="s">
        <v>15</v>
      </c>
    </row>
    <row r="11" spans="1:2" ht="61.95" customHeight="1" x14ac:dyDescent="0.3">
      <c r="A11" s="3" t="s">
        <v>16</v>
      </c>
      <c r="B11" s="4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3"/>
  <sheetViews>
    <sheetView workbookViewId="0"/>
  </sheetViews>
  <sheetFormatPr baseColWidth="10" defaultColWidth="8.88671875" defaultRowHeight="14.4" x14ac:dyDescent="0.3"/>
  <cols>
    <col min="1" max="1" width="62" customWidth="1"/>
    <col min="2" max="2" width="20" customWidth="1"/>
    <col min="3" max="3" width="26" customWidth="1"/>
    <col min="4" max="4" width="20" customWidth="1"/>
    <col min="5" max="5" width="26" customWidth="1"/>
  </cols>
  <sheetData>
    <row r="1" spans="1:5" ht="18" x14ac:dyDescent="0.35">
      <c r="A1" s="1" t="s">
        <v>18</v>
      </c>
    </row>
    <row r="2" spans="1:5" x14ac:dyDescent="0.3">
      <c r="A2" s="2" t="s">
        <v>19</v>
      </c>
    </row>
    <row r="4" spans="1:5" ht="28.8" x14ac:dyDescent="0.3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</row>
    <row r="5" spans="1:5" x14ac:dyDescent="0.3">
      <c r="A5" s="6" t="s">
        <v>25</v>
      </c>
      <c r="B5" s="7">
        <v>851</v>
      </c>
      <c r="C5" s="7">
        <v>546</v>
      </c>
      <c r="D5" s="7">
        <f t="shared" ref="D5:D16" si="0">B5+C5</f>
        <v>1397</v>
      </c>
      <c r="E5" s="7">
        <v>23498</v>
      </c>
    </row>
    <row r="6" spans="1:5" x14ac:dyDescent="0.3">
      <c r="A6" s="6" t="s">
        <v>26</v>
      </c>
      <c r="B6" s="7">
        <v>13</v>
      </c>
      <c r="C6" s="7">
        <v>1</v>
      </c>
      <c r="D6" s="7">
        <f t="shared" si="0"/>
        <v>14</v>
      </c>
      <c r="E6" s="7">
        <v>63</v>
      </c>
    </row>
    <row r="7" spans="1:5" x14ac:dyDescent="0.3">
      <c r="A7" s="6" t="s">
        <v>27</v>
      </c>
      <c r="B7" s="7">
        <v>76</v>
      </c>
      <c r="C7" s="7">
        <v>17</v>
      </c>
      <c r="D7" s="7">
        <f t="shared" si="0"/>
        <v>93</v>
      </c>
      <c r="E7" s="7">
        <v>1709</v>
      </c>
    </row>
    <row r="8" spans="1:5" x14ac:dyDescent="0.3">
      <c r="A8" s="6" t="s">
        <v>28</v>
      </c>
      <c r="B8" s="7">
        <v>133</v>
      </c>
      <c r="C8" s="7">
        <v>30</v>
      </c>
      <c r="D8" s="7">
        <f t="shared" si="0"/>
        <v>163</v>
      </c>
      <c r="E8" s="7">
        <v>4004</v>
      </c>
    </row>
    <row r="9" spans="1:5" x14ac:dyDescent="0.3">
      <c r="A9" s="6" t="s">
        <v>29</v>
      </c>
      <c r="B9" s="7">
        <v>97</v>
      </c>
      <c r="C9" s="7">
        <v>0</v>
      </c>
      <c r="D9" s="7">
        <f t="shared" si="0"/>
        <v>97</v>
      </c>
      <c r="E9" s="7">
        <v>160</v>
      </c>
    </row>
    <row r="10" spans="1:5" x14ac:dyDescent="0.3">
      <c r="A10" s="6" t="s">
        <v>30</v>
      </c>
      <c r="B10" s="7">
        <v>461</v>
      </c>
      <c r="C10" s="7">
        <v>46</v>
      </c>
      <c r="D10" s="7">
        <f t="shared" si="0"/>
        <v>507</v>
      </c>
      <c r="E10" s="7">
        <v>5907</v>
      </c>
    </row>
    <row r="11" spans="1:5" x14ac:dyDescent="0.3">
      <c r="A11" s="6" t="s">
        <v>31</v>
      </c>
      <c r="B11" s="7">
        <v>661</v>
      </c>
      <c r="C11" s="7">
        <v>406</v>
      </c>
      <c r="D11" s="7">
        <f t="shared" si="0"/>
        <v>1067</v>
      </c>
      <c r="E11" s="7">
        <v>11779</v>
      </c>
    </row>
    <row r="12" spans="1:5" x14ac:dyDescent="0.3">
      <c r="A12" s="6" t="s">
        <v>32</v>
      </c>
      <c r="B12" s="7">
        <v>96</v>
      </c>
      <c r="C12" s="7">
        <v>0</v>
      </c>
      <c r="D12" s="7">
        <f t="shared" si="0"/>
        <v>96</v>
      </c>
      <c r="E12" s="7">
        <v>101</v>
      </c>
    </row>
    <row r="13" spans="1:5" x14ac:dyDescent="0.3">
      <c r="A13" s="6" t="s">
        <v>33</v>
      </c>
      <c r="B13" s="7">
        <v>229</v>
      </c>
      <c r="C13" s="7">
        <v>28</v>
      </c>
      <c r="D13" s="7">
        <f t="shared" si="0"/>
        <v>257</v>
      </c>
      <c r="E13" s="7">
        <v>1025</v>
      </c>
    </row>
    <row r="14" spans="1:5" x14ac:dyDescent="0.3">
      <c r="A14" s="6" t="s">
        <v>34</v>
      </c>
      <c r="B14" s="7">
        <v>570</v>
      </c>
      <c r="C14" s="7">
        <v>17</v>
      </c>
      <c r="D14" s="7">
        <f t="shared" si="0"/>
        <v>587</v>
      </c>
      <c r="E14" s="7">
        <v>2043</v>
      </c>
    </row>
    <row r="15" spans="1:5" x14ac:dyDescent="0.3">
      <c r="A15" s="6" t="s">
        <v>35</v>
      </c>
      <c r="B15" s="7">
        <v>186</v>
      </c>
      <c r="C15" s="7">
        <v>15</v>
      </c>
      <c r="D15" s="7">
        <f t="shared" si="0"/>
        <v>201</v>
      </c>
      <c r="E15" s="7">
        <v>2178</v>
      </c>
    </row>
    <row r="16" spans="1:5" x14ac:dyDescent="0.3">
      <c r="A16" s="6" t="s">
        <v>36</v>
      </c>
      <c r="B16" s="7">
        <v>1959</v>
      </c>
      <c r="C16" s="7">
        <v>519</v>
      </c>
      <c r="D16" s="7">
        <f t="shared" si="0"/>
        <v>2478</v>
      </c>
      <c r="E16" s="7">
        <v>59697</v>
      </c>
    </row>
    <row r="17" spans="1:5" x14ac:dyDescent="0.3">
      <c r="A17" s="8" t="s">
        <v>37</v>
      </c>
      <c r="B17" s="9">
        <f>SUM(B5:B16)</f>
        <v>5332</v>
      </c>
      <c r="C17" s="9">
        <f>SUM(C5:C16)</f>
        <v>1625</v>
      </c>
      <c r="D17" s="9">
        <f>SUM(D5:D16)</f>
        <v>6957</v>
      </c>
      <c r="E17" s="9">
        <f>SUM(E5:E16)</f>
        <v>112164</v>
      </c>
    </row>
    <row r="19" spans="1:5" x14ac:dyDescent="0.3">
      <c r="A19" s="3" t="s">
        <v>38</v>
      </c>
    </row>
    <row r="20" spans="1:5" x14ac:dyDescent="0.3">
      <c r="A20" s="6" t="s">
        <v>39</v>
      </c>
      <c r="D20" s="7">
        <v>416</v>
      </c>
      <c r="E20" s="10" t="s">
        <v>40</v>
      </c>
    </row>
    <row r="22" spans="1:5" x14ac:dyDescent="0.3">
      <c r="A22" s="3" t="s">
        <v>41</v>
      </c>
    </row>
    <row r="23" spans="1:5" ht="28.8" x14ac:dyDescent="0.3">
      <c r="A23" s="5" t="s">
        <v>42</v>
      </c>
      <c r="B23" s="5" t="s">
        <v>43</v>
      </c>
    </row>
    <row r="24" spans="1:5" x14ac:dyDescent="0.3">
      <c r="A24" s="6" t="s">
        <v>44</v>
      </c>
      <c r="B24" s="7">
        <v>845</v>
      </c>
    </row>
    <row r="25" spans="1:5" x14ac:dyDescent="0.3">
      <c r="A25" s="6" t="s">
        <v>45</v>
      </c>
      <c r="B25" s="7">
        <v>724</v>
      </c>
    </row>
    <row r="26" spans="1:5" x14ac:dyDescent="0.3">
      <c r="A26" s="6" t="s">
        <v>46</v>
      </c>
      <c r="B26" s="7">
        <v>353</v>
      </c>
    </row>
    <row r="27" spans="1:5" x14ac:dyDescent="0.3">
      <c r="A27" s="6" t="s">
        <v>47</v>
      </c>
      <c r="B27" s="7">
        <v>316</v>
      </c>
    </row>
    <row r="28" spans="1:5" x14ac:dyDescent="0.3">
      <c r="A28" s="6" t="s">
        <v>48</v>
      </c>
      <c r="B28" s="7">
        <v>247</v>
      </c>
    </row>
    <row r="29" spans="1:5" x14ac:dyDescent="0.3">
      <c r="A29" s="6" t="s">
        <v>49</v>
      </c>
      <c r="B29" s="7">
        <v>197</v>
      </c>
    </row>
    <row r="30" spans="1:5" x14ac:dyDescent="0.3">
      <c r="A30" s="6" t="s">
        <v>50</v>
      </c>
      <c r="B30" s="7">
        <v>183</v>
      </c>
    </row>
    <row r="31" spans="1:5" x14ac:dyDescent="0.3">
      <c r="A31" s="6" t="s">
        <v>51</v>
      </c>
      <c r="B31" s="7">
        <v>170</v>
      </c>
    </row>
    <row r="32" spans="1:5" x14ac:dyDescent="0.3">
      <c r="A32" s="6" t="s">
        <v>52</v>
      </c>
      <c r="B32" s="7">
        <v>149</v>
      </c>
    </row>
    <row r="33" spans="1:2" x14ac:dyDescent="0.3">
      <c r="A33" s="6" t="s">
        <v>53</v>
      </c>
      <c r="B33" s="7">
        <v>142</v>
      </c>
    </row>
    <row r="34" spans="1:2" x14ac:dyDescent="0.3">
      <c r="A34" s="6" t="s">
        <v>54</v>
      </c>
      <c r="B34" s="7">
        <v>104</v>
      </c>
    </row>
    <row r="35" spans="1:2" x14ac:dyDescent="0.3">
      <c r="A35" s="6" t="s">
        <v>55</v>
      </c>
      <c r="B35" s="7">
        <v>101</v>
      </c>
    </row>
    <row r="36" spans="1:2" x14ac:dyDescent="0.3">
      <c r="A36" s="6" t="s">
        <v>56</v>
      </c>
      <c r="B36" s="7">
        <v>70</v>
      </c>
    </row>
    <row r="38" spans="1:2" x14ac:dyDescent="0.3">
      <c r="A38" s="3" t="s">
        <v>57</v>
      </c>
    </row>
    <row r="39" spans="1:2" ht="28.8" x14ac:dyDescent="0.3">
      <c r="A39" s="5" t="s">
        <v>58</v>
      </c>
      <c r="B39" s="5" t="s">
        <v>59</v>
      </c>
    </row>
    <row r="40" spans="1:2" x14ac:dyDescent="0.3">
      <c r="A40" s="6">
        <v>2015</v>
      </c>
      <c r="B40" s="7">
        <v>156</v>
      </c>
    </row>
    <row r="41" spans="1:2" x14ac:dyDescent="0.3">
      <c r="A41" s="6">
        <v>2016</v>
      </c>
      <c r="B41" s="7">
        <v>151</v>
      </c>
    </row>
    <row r="42" spans="1:2" x14ac:dyDescent="0.3">
      <c r="A42" s="6">
        <v>2017</v>
      </c>
      <c r="B42" s="7">
        <v>220</v>
      </c>
    </row>
    <row r="43" spans="1:2" x14ac:dyDescent="0.3">
      <c r="A43" s="6">
        <v>2018</v>
      </c>
      <c r="B43" s="7">
        <v>171</v>
      </c>
    </row>
    <row r="44" spans="1:2" x14ac:dyDescent="0.3">
      <c r="A44" s="6">
        <v>2019</v>
      </c>
      <c r="B44" s="7">
        <v>263</v>
      </c>
    </row>
    <row r="45" spans="1:2" x14ac:dyDescent="0.3">
      <c r="A45" s="6">
        <v>2020</v>
      </c>
      <c r="B45" s="7">
        <v>180</v>
      </c>
    </row>
    <row r="46" spans="1:2" x14ac:dyDescent="0.3">
      <c r="A46" s="6">
        <v>2021</v>
      </c>
      <c r="B46" s="7">
        <v>337</v>
      </c>
    </row>
    <row r="47" spans="1:2" x14ac:dyDescent="0.3">
      <c r="A47" s="6">
        <v>2022</v>
      </c>
      <c r="B47" s="7">
        <v>374</v>
      </c>
    </row>
    <row r="48" spans="1:2" x14ac:dyDescent="0.3">
      <c r="A48" s="6">
        <v>2023</v>
      </c>
      <c r="B48" s="7">
        <v>481</v>
      </c>
    </row>
    <row r="49" spans="1:2" x14ac:dyDescent="0.3">
      <c r="A49" s="6">
        <v>2024</v>
      </c>
      <c r="B49" s="7">
        <v>436</v>
      </c>
    </row>
    <row r="50" spans="1:2" x14ac:dyDescent="0.3">
      <c r="A50" s="6">
        <v>2025</v>
      </c>
      <c r="B50" s="7">
        <v>536</v>
      </c>
    </row>
    <row r="51" spans="1:2" x14ac:dyDescent="0.3">
      <c r="A51" s="6" t="s">
        <v>60</v>
      </c>
      <c r="B51" s="7">
        <v>361</v>
      </c>
    </row>
    <row r="53" spans="1:2" x14ac:dyDescent="0.3">
      <c r="A53" s="10" t="s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baseColWidth="10" defaultColWidth="8.88671875" defaultRowHeight="14.4" x14ac:dyDescent="0.3"/>
  <cols>
    <col min="1" max="1" width="64" customWidth="1"/>
    <col min="2" max="3" width="16" customWidth="1"/>
    <col min="4" max="4" width="52" customWidth="1"/>
  </cols>
  <sheetData>
    <row r="1" spans="1:4" ht="18" x14ac:dyDescent="0.35">
      <c r="A1" s="1" t="s">
        <v>62</v>
      </c>
    </row>
    <row r="2" spans="1:4" x14ac:dyDescent="0.3">
      <c r="A2" s="2" t="s">
        <v>63</v>
      </c>
    </row>
    <row r="4" spans="1:4" x14ac:dyDescent="0.3">
      <c r="A4" s="5" t="s">
        <v>64</v>
      </c>
      <c r="B4" s="5" t="s">
        <v>65</v>
      </c>
      <c r="C4" s="5" t="s">
        <v>66</v>
      </c>
      <c r="D4" s="5" t="s">
        <v>67</v>
      </c>
    </row>
    <row r="5" spans="1:4" x14ac:dyDescent="0.3">
      <c r="A5" s="6" t="s">
        <v>68</v>
      </c>
      <c r="B5" s="7">
        <v>32993</v>
      </c>
      <c r="C5" s="7">
        <v>1204276</v>
      </c>
      <c r="D5" s="6" t="s">
        <v>69</v>
      </c>
    </row>
    <row r="6" spans="1:4" x14ac:dyDescent="0.3">
      <c r="A6" s="6" t="s">
        <v>70</v>
      </c>
      <c r="B6" s="7">
        <v>1968</v>
      </c>
      <c r="C6" s="7">
        <v>86311</v>
      </c>
      <c r="D6" s="6" t="s">
        <v>71</v>
      </c>
    </row>
    <row r="7" spans="1:4" x14ac:dyDescent="0.3">
      <c r="A7" s="6" t="s">
        <v>72</v>
      </c>
      <c r="B7" s="11">
        <v>66742.5</v>
      </c>
      <c r="C7" s="11">
        <v>2921188.6</v>
      </c>
      <c r="D7" s="6" t="s">
        <v>73</v>
      </c>
    </row>
    <row r="8" spans="1:4" x14ac:dyDescent="0.3">
      <c r="A8" s="6" t="s">
        <v>74</v>
      </c>
      <c r="B8" s="11">
        <v>32.5</v>
      </c>
      <c r="C8" s="11">
        <v>37.1</v>
      </c>
      <c r="D8" s="6" t="s">
        <v>75</v>
      </c>
    </row>
    <row r="9" spans="1:4" x14ac:dyDescent="0.3">
      <c r="A9" s="6" t="s">
        <v>76</v>
      </c>
      <c r="B9" s="11">
        <v>28.4</v>
      </c>
      <c r="C9" s="7"/>
      <c r="D9" s="6" t="s">
        <v>77</v>
      </c>
    </row>
    <row r="10" spans="1:4" x14ac:dyDescent="0.3">
      <c r="A10" s="6" t="s">
        <v>78</v>
      </c>
      <c r="B10" s="11">
        <v>1.7</v>
      </c>
      <c r="C10" s="11">
        <v>3.6</v>
      </c>
      <c r="D10" s="6" t="s">
        <v>79</v>
      </c>
    </row>
    <row r="11" spans="1:4" x14ac:dyDescent="0.3">
      <c r="A11" s="6" t="s">
        <v>80</v>
      </c>
      <c r="B11" s="7">
        <v>898652</v>
      </c>
      <c r="C11" s="7"/>
      <c r="D11" s="6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workbookViewId="0"/>
  </sheetViews>
  <sheetFormatPr baseColWidth="10" defaultColWidth="8.88671875" defaultRowHeight="14.4" x14ac:dyDescent="0.3"/>
  <cols>
    <col min="1" max="1" width="34" customWidth="1"/>
    <col min="2" max="3" width="26" customWidth="1"/>
    <col min="4" max="4" width="14" customWidth="1"/>
    <col min="5" max="6" width="30" customWidth="1"/>
  </cols>
  <sheetData>
    <row r="1" spans="1:6" ht="18" x14ac:dyDescent="0.35">
      <c r="A1" s="1" t="s">
        <v>82</v>
      </c>
    </row>
    <row r="2" spans="1:6" x14ac:dyDescent="0.3">
      <c r="A2" s="2" t="s">
        <v>83</v>
      </c>
    </row>
    <row r="4" spans="1:6" ht="28.8" x14ac:dyDescent="0.3">
      <c r="A4" s="5" t="s">
        <v>58</v>
      </c>
      <c r="B4" s="5" t="s">
        <v>84</v>
      </c>
      <c r="C4" s="5" t="s">
        <v>85</v>
      </c>
      <c r="D4" s="5" t="s">
        <v>86</v>
      </c>
    </row>
    <row r="5" spans="1:6" x14ac:dyDescent="0.3">
      <c r="A5" s="6">
        <v>2016</v>
      </c>
      <c r="B5" s="7">
        <v>16655</v>
      </c>
      <c r="C5" s="7">
        <v>0</v>
      </c>
      <c r="D5" s="12">
        <f t="shared" ref="D5:D12" si="0">C5/B5</f>
        <v>0</v>
      </c>
    </row>
    <row r="6" spans="1:6" x14ac:dyDescent="0.3">
      <c r="A6" s="6">
        <v>2017</v>
      </c>
      <c r="B6" s="7">
        <v>18660</v>
      </c>
      <c r="C6" s="7">
        <v>0</v>
      </c>
      <c r="D6" s="12">
        <f t="shared" si="0"/>
        <v>0</v>
      </c>
    </row>
    <row r="7" spans="1:6" x14ac:dyDescent="0.3">
      <c r="A7" s="6">
        <v>2018</v>
      </c>
      <c r="B7" s="7">
        <v>20885</v>
      </c>
      <c r="C7" s="7">
        <v>346</v>
      </c>
      <c r="D7" s="12">
        <f t="shared" si="0"/>
        <v>1.6566914053148193E-2</v>
      </c>
    </row>
    <row r="8" spans="1:6" x14ac:dyDescent="0.3">
      <c r="A8" s="6">
        <v>2019</v>
      </c>
      <c r="B8" s="7">
        <v>21207</v>
      </c>
      <c r="C8" s="7">
        <v>559</v>
      </c>
      <c r="D8" s="12">
        <f t="shared" si="0"/>
        <v>2.6359221011930022E-2</v>
      </c>
    </row>
    <row r="9" spans="1:6" x14ac:dyDescent="0.3">
      <c r="A9" s="6">
        <v>2020</v>
      </c>
      <c r="B9" s="7">
        <v>23580</v>
      </c>
      <c r="C9" s="7">
        <v>760</v>
      </c>
      <c r="D9" s="12">
        <f t="shared" si="0"/>
        <v>3.2230703986429174E-2</v>
      </c>
    </row>
    <row r="10" spans="1:6" x14ac:dyDescent="0.3">
      <c r="A10" s="6">
        <v>2021</v>
      </c>
      <c r="B10" s="7">
        <v>25581</v>
      </c>
      <c r="C10" s="7">
        <v>942</v>
      </c>
      <c r="D10" s="12">
        <f t="shared" si="0"/>
        <v>3.6824205464993549E-2</v>
      </c>
    </row>
    <row r="11" spans="1:6" x14ac:dyDescent="0.3">
      <c r="A11" s="6">
        <v>2022</v>
      </c>
      <c r="B11" s="7">
        <v>26653</v>
      </c>
      <c r="C11" s="7">
        <v>1005</v>
      </c>
      <c r="D11" s="12">
        <f t="shared" si="0"/>
        <v>3.7706824747683186E-2</v>
      </c>
    </row>
    <row r="12" spans="1:6" x14ac:dyDescent="0.3">
      <c r="A12" s="6">
        <v>2023</v>
      </c>
      <c r="B12" s="7">
        <v>27624</v>
      </c>
      <c r="C12" s="7">
        <v>1021</v>
      </c>
      <c r="D12" s="12">
        <f t="shared" si="0"/>
        <v>3.6960613958876343E-2</v>
      </c>
    </row>
    <row r="13" spans="1:6" x14ac:dyDescent="0.3">
      <c r="A13" s="10" t="s">
        <v>87</v>
      </c>
    </row>
    <row r="15" spans="1:6" x14ac:dyDescent="0.3">
      <c r="A15" s="5" t="s">
        <v>88</v>
      </c>
      <c r="B15" s="5" t="s">
        <v>89</v>
      </c>
      <c r="C15" s="5" t="s">
        <v>90</v>
      </c>
      <c r="D15" s="5" t="s">
        <v>91</v>
      </c>
      <c r="E15" s="5" t="s">
        <v>92</v>
      </c>
      <c r="F15" s="5" t="s">
        <v>93</v>
      </c>
    </row>
    <row r="18" spans="1:6" x14ac:dyDescent="0.3">
      <c r="A18" s="6" t="s">
        <v>65</v>
      </c>
      <c r="B18" s="7">
        <v>26653</v>
      </c>
      <c r="C18" s="7">
        <v>1005</v>
      </c>
      <c r="D18" s="12">
        <f>C18/B18</f>
        <v>3.7706824747683186E-2</v>
      </c>
      <c r="E18" s="7">
        <v>3205</v>
      </c>
      <c r="F18" s="7">
        <v>69</v>
      </c>
    </row>
    <row r="19" spans="1:6" x14ac:dyDescent="0.3">
      <c r="A19" s="6" t="s">
        <v>94</v>
      </c>
      <c r="B19" s="7">
        <v>207192</v>
      </c>
      <c r="C19" s="7">
        <v>9708</v>
      </c>
      <c r="D19" s="12">
        <f>C19/B19</f>
        <v>4.6855090930151742E-2</v>
      </c>
      <c r="E19" s="7">
        <v>38212</v>
      </c>
      <c r="F19" s="7">
        <v>1390</v>
      </c>
    </row>
    <row r="20" spans="1:6" x14ac:dyDescent="0.3">
      <c r="A20" s="6" t="s">
        <v>95</v>
      </c>
      <c r="B20" s="7">
        <v>7529</v>
      </c>
      <c r="C20" s="7">
        <v>183</v>
      </c>
      <c r="D20" s="12">
        <f>C20/B20</f>
        <v>2.430601673529021E-2</v>
      </c>
      <c r="E20" s="7">
        <v>1265</v>
      </c>
      <c r="F20" s="7">
        <v>44</v>
      </c>
    </row>
    <row r="21" spans="1:6" x14ac:dyDescent="0.3">
      <c r="A21" s="6" t="s">
        <v>96</v>
      </c>
      <c r="B21" s="7">
        <v>6752</v>
      </c>
      <c r="C21" s="7">
        <v>389</v>
      </c>
      <c r="D21" s="12">
        <f>C21/B21</f>
        <v>5.7612559241706163E-2</v>
      </c>
      <c r="E21" s="7">
        <v>1438</v>
      </c>
      <c r="F21" s="7">
        <v>80</v>
      </c>
    </row>
    <row r="22" spans="1:6" x14ac:dyDescent="0.3">
      <c r="A22" s="6" t="s">
        <v>66</v>
      </c>
      <c r="B22" s="7">
        <v>792530</v>
      </c>
      <c r="C22" s="7">
        <v>33220</v>
      </c>
      <c r="D22" s="12">
        <f>C22/B22</f>
        <v>4.1916394332075758E-2</v>
      </c>
      <c r="E22" s="7">
        <v>123378</v>
      </c>
      <c r="F22" s="7">
        <v>4224</v>
      </c>
    </row>
    <row r="24" spans="1:6" x14ac:dyDescent="0.3">
      <c r="A24" s="10" t="s">
        <v>97</v>
      </c>
    </row>
    <row r="26" spans="1:6" ht="28.8" x14ac:dyDescent="0.3">
      <c r="A26" s="5" t="s">
        <v>58</v>
      </c>
      <c r="B26" s="5" t="s">
        <v>98</v>
      </c>
      <c r="C26" s="5" t="s">
        <v>99</v>
      </c>
    </row>
    <row r="27" spans="1:6" x14ac:dyDescent="0.3">
      <c r="A27" s="6">
        <v>2013</v>
      </c>
      <c r="B27" s="7">
        <v>107971</v>
      </c>
      <c r="C27" s="7">
        <v>27</v>
      </c>
    </row>
    <row r="28" spans="1:6" x14ac:dyDescent="0.3">
      <c r="A28" s="6">
        <v>2014</v>
      </c>
      <c r="B28" s="7">
        <v>100161</v>
      </c>
      <c r="C28" s="7">
        <v>16</v>
      </c>
    </row>
    <row r="29" spans="1:6" x14ac:dyDescent="0.3">
      <c r="A29" s="6">
        <v>2015</v>
      </c>
      <c r="B29" s="7">
        <v>145723</v>
      </c>
      <c r="C29" s="7">
        <v>39</v>
      </c>
    </row>
    <row r="30" spans="1:6" x14ac:dyDescent="0.3">
      <c r="A30" s="6">
        <v>2016</v>
      </c>
      <c r="B30" s="7">
        <v>152544</v>
      </c>
      <c r="C30" s="7">
        <v>2</v>
      </c>
    </row>
    <row r="31" spans="1:6" x14ac:dyDescent="0.3">
      <c r="A31" s="6">
        <v>2017</v>
      </c>
      <c r="B31" s="7">
        <v>130748</v>
      </c>
      <c r="C31" s="7">
        <v>174</v>
      </c>
    </row>
    <row r="32" spans="1:6" x14ac:dyDescent="0.3">
      <c r="A32" s="6">
        <v>2018</v>
      </c>
      <c r="B32" s="7">
        <v>114504</v>
      </c>
      <c r="C32" s="7">
        <v>250</v>
      </c>
    </row>
    <row r="33" spans="1:3" x14ac:dyDescent="0.3">
      <c r="A33" s="6">
        <v>2019</v>
      </c>
      <c r="B33" s="7">
        <v>109933</v>
      </c>
      <c r="C33" s="7">
        <v>437</v>
      </c>
    </row>
    <row r="34" spans="1:3" x14ac:dyDescent="0.3">
      <c r="A34" s="6">
        <v>2020</v>
      </c>
      <c r="B34" s="7">
        <v>101048</v>
      </c>
      <c r="C34" s="7">
        <v>470</v>
      </c>
    </row>
    <row r="35" spans="1:3" x14ac:dyDescent="0.3">
      <c r="A35" s="6">
        <v>2021</v>
      </c>
      <c r="B35" s="7">
        <v>151518</v>
      </c>
      <c r="C35" s="7">
        <v>1797</v>
      </c>
    </row>
    <row r="36" spans="1:3" x14ac:dyDescent="0.3">
      <c r="A36" s="6">
        <v>2022</v>
      </c>
      <c r="B36" s="7">
        <v>186946</v>
      </c>
      <c r="C36" s="7">
        <v>4093</v>
      </c>
    </row>
    <row r="37" spans="1:3" x14ac:dyDescent="0.3">
      <c r="A37" s="6">
        <v>2023</v>
      </c>
      <c r="B37" s="7">
        <v>208299</v>
      </c>
      <c r="C37" s="7">
        <v>7663</v>
      </c>
    </row>
    <row r="38" spans="1:3" x14ac:dyDescent="0.3">
      <c r="A38" s="6">
        <v>2024</v>
      </c>
      <c r="B38" s="7">
        <v>123378</v>
      </c>
      <c r="C38" s="7">
        <v>4224</v>
      </c>
    </row>
    <row r="40" spans="1:3" x14ac:dyDescent="0.3">
      <c r="A40" s="10" t="s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workbookViewId="0"/>
  </sheetViews>
  <sheetFormatPr baseColWidth="10" defaultColWidth="8.88671875" defaultRowHeight="14.4" x14ac:dyDescent="0.3"/>
  <cols>
    <col min="1" max="1" width="78" customWidth="1"/>
    <col min="2" max="7" width="20" customWidth="1"/>
  </cols>
  <sheetData>
    <row r="1" spans="1:7" ht="18" x14ac:dyDescent="0.35">
      <c r="A1" s="1" t="s">
        <v>101</v>
      </c>
    </row>
    <row r="2" spans="1:7" x14ac:dyDescent="0.3">
      <c r="A2" s="2" t="s">
        <v>102</v>
      </c>
    </row>
    <row r="4" spans="1:7" x14ac:dyDescent="0.3">
      <c r="A4" s="3" t="s">
        <v>103</v>
      </c>
    </row>
    <row r="5" spans="1:7" x14ac:dyDescent="0.3">
      <c r="A5" s="6" t="s">
        <v>104</v>
      </c>
      <c r="B5" s="7">
        <f>INEC_LosRios!B6</f>
        <v>1968</v>
      </c>
    </row>
    <row r="6" spans="1:7" x14ac:dyDescent="0.3">
      <c r="A6" s="6" t="s">
        <v>105</v>
      </c>
      <c r="B6" s="7">
        <f>SRI_LosRios!D17-SRI_LosRios!D20</f>
        <v>6541</v>
      </c>
    </row>
    <row r="7" spans="1:7" x14ac:dyDescent="0.3">
      <c r="A7" s="8" t="s">
        <v>106</v>
      </c>
      <c r="B7" s="12">
        <f>B5/B6</f>
        <v>0.30087142638740255</v>
      </c>
      <c r="C7" s="10" t="s">
        <v>107</v>
      </c>
    </row>
    <row r="8" spans="1:7" x14ac:dyDescent="0.3">
      <c r="A8" s="6" t="s">
        <v>108</v>
      </c>
      <c r="B8" s="13">
        <f>ROUND(B7,2)</f>
        <v>0.3</v>
      </c>
    </row>
    <row r="9" spans="1:7" x14ac:dyDescent="0.3">
      <c r="A9" s="6" t="s">
        <v>109</v>
      </c>
      <c r="B9" s="13">
        <v>1</v>
      </c>
    </row>
    <row r="11" spans="1:7" x14ac:dyDescent="0.3">
      <c r="A11" s="3" t="s">
        <v>110</v>
      </c>
    </row>
    <row r="12" spans="1:7" x14ac:dyDescent="0.3">
      <c r="A12" s="5" t="s">
        <v>111</v>
      </c>
      <c r="B12" s="5" t="s">
        <v>112</v>
      </c>
      <c r="C12" s="5" t="s">
        <v>113</v>
      </c>
      <c r="D12" s="5" t="s">
        <v>114</v>
      </c>
      <c r="E12" s="5" t="s">
        <v>115</v>
      </c>
      <c r="F12" s="5" t="s">
        <v>116</v>
      </c>
      <c r="G12" s="5" t="s">
        <v>117</v>
      </c>
    </row>
    <row r="13" spans="1:7" x14ac:dyDescent="0.3">
      <c r="A13" s="6" t="s">
        <v>25</v>
      </c>
      <c r="B13" s="13">
        <v>0.01</v>
      </c>
      <c r="C13" s="13">
        <v>1.4999999999999999E-2</v>
      </c>
      <c r="D13" s="13">
        <v>2.5000000000000001E-2</v>
      </c>
      <c r="E13" s="13">
        <v>3.5000000000000003E-2</v>
      </c>
      <c r="F13" s="13">
        <v>0.05</v>
      </c>
      <c r="G13" s="13">
        <v>7.0000000000000007E-2</v>
      </c>
    </row>
    <row r="14" spans="1:7" x14ac:dyDescent="0.3">
      <c r="A14" s="6" t="s">
        <v>26</v>
      </c>
      <c r="B14" s="13">
        <v>0.02</v>
      </c>
      <c r="C14" s="13">
        <v>0.03</v>
      </c>
      <c r="D14" s="13">
        <v>0.05</v>
      </c>
      <c r="E14" s="13">
        <v>7.0000000000000007E-2</v>
      </c>
      <c r="F14" s="13">
        <v>0.1</v>
      </c>
      <c r="G14" s="13">
        <v>0.14000000000000001</v>
      </c>
    </row>
    <row r="15" spans="1:7" x14ac:dyDescent="0.3">
      <c r="A15" s="6" t="s">
        <v>27</v>
      </c>
      <c r="B15" s="13">
        <v>0.05</v>
      </c>
      <c r="C15" s="13">
        <v>7.0000000000000007E-2</v>
      </c>
      <c r="D15" s="13">
        <v>0.1</v>
      </c>
      <c r="E15" s="13">
        <v>0.14000000000000001</v>
      </c>
      <c r="F15" s="13">
        <v>0.18</v>
      </c>
      <c r="G15" s="13">
        <v>0.24</v>
      </c>
    </row>
    <row r="16" spans="1:7" x14ac:dyDescent="0.3">
      <c r="A16" s="6" t="s">
        <v>28</v>
      </c>
      <c r="B16" s="13">
        <v>0.04</v>
      </c>
      <c r="C16" s="13">
        <v>0.05</v>
      </c>
      <c r="D16" s="13">
        <v>0.08</v>
      </c>
      <c r="E16" s="13">
        <v>0.11</v>
      </c>
      <c r="F16" s="13">
        <v>0.15</v>
      </c>
      <c r="G16" s="13">
        <v>0.2</v>
      </c>
    </row>
    <row r="17" spans="1:7" x14ac:dyDescent="0.3">
      <c r="A17" s="6" t="s">
        <v>29</v>
      </c>
      <c r="B17" s="13">
        <v>0.05</v>
      </c>
      <c r="C17" s="13">
        <v>7.0000000000000007E-2</v>
      </c>
      <c r="D17" s="13">
        <v>0.1</v>
      </c>
      <c r="E17" s="13">
        <v>0.14000000000000001</v>
      </c>
      <c r="F17" s="13">
        <v>0.2</v>
      </c>
      <c r="G17" s="13">
        <v>0.26</v>
      </c>
    </row>
    <row r="18" spans="1:7" x14ac:dyDescent="0.3">
      <c r="A18" s="6" t="s">
        <v>30</v>
      </c>
      <c r="B18" s="13">
        <v>0.02</v>
      </c>
      <c r="C18" s="13">
        <v>0.03</v>
      </c>
      <c r="D18" s="13">
        <v>0.05</v>
      </c>
      <c r="E18" s="13">
        <v>7.0000000000000007E-2</v>
      </c>
      <c r="F18" s="13">
        <v>0.1</v>
      </c>
      <c r="G18" s="13">
        <v>0.14000000000000001</v>
      </c>
    </row>
    <row r="19" spans="1:7" x14ac:dyDescent="0.3">
      <c r="A19" s="6" t="s">
        <v>31</v>
      </c>
      <c r="B19" s="13">
        <v>5.0000000000000001E-3</v>
      </c>
      <c r="C19" s="13">
        <v>7.4999999999999997E-3</v>
      </c>
      <c r="D19" s="13">
        <v>1.4999999999999999E-2</v>
      </c>
      <c r="E19" s="13">
        <v>0.02</v>
      </c>
      <c r="F19" s="13">
        <v>0.03</v>
      </c>
      <c r="G19" s="13">
        <v>0.04</v>
      </c>
    </row>
    <row r="20" spans="1:7" x14ac:dyDescent="0.3">
      <c r="A20" s="6" t="s">
        <v>32</v>
      </c>
      <c r="B20" s="13">
        <v>0.1</v>
      </c>
      <c r="C20" s="13">
        <v>0.15</v>
      </c>
      <c r="D20" s="13">
        <v>0.25</v>
      </c>
      <c r="E20" s="13">
        <v>0.35</v>
      </c>
      <c r="F20" s="13">
        <v>0.4</v>
      </c>
      <c r="G20" s="13">
        <v>0.55000000000000004</v>
      </c>
    </row>
    <row r="21" spans="1:7" x14ac:dyDescent="0.3">
      <c r="A21" s="6" t="s">
        <v>33</v>
      </c>
      <c r="B21" s="13">
        <v>0.15</v>
      </c>
      <c r="C21" s="13">
        <v>0.2</v>
      </c>
      <c r="D21" s="13">
        <v>0.3</v>
      </c>
      <c r="E21" s="13">
        <v>0.4</v>
      </c>
      <c r="F21" s="13">
        <v>0.5</v>
      </c>
      <c r="G21" s="13">
        <v>0.6</v>
      </c>
    </row>
    <row r="22" spans="1:7" x14ac:dyDescent="0.3">
      <c r="A22" s="10" t="s">
        <v>118</v>
      </c>
    </row>
    <row r="24" spans="1:7" x14ac:dyDescent="0.3">
      <c r="A24" s="3" t="s">
        <v>119</v>
      </c>
    </row>
    <row r="25" spans="1:7" x14ac:dyDescent="0.3">
      <c r="A25" s="5"/>
      <c r="B25" s="5" t="s">
        <v>120</v>
      </c>
      <c r="C25" s="5" t="s">
        <v>121</v>
      </c>
      <c r="D25" s="5" t="s">
        <v>122</v>
      </c>
    </row>
    <row r="26" spans="1:7" x14ac:dyDescent="0.3">
      <c r="A26" s="6" t="s">
        <v>123</v>
      </c>
      <c r="B26" s="14">
        <v>1</v>
      </c>
      <c r="C26" s="14">
        <v>1.5</v>
      </c>
      <c r="D26" s="14">
        <v>2</v>
      </c>
    </row>
    <row r="27" spans="1:7" x14ac:dyDescent="0.3">
      <c r="A27" s="6" t="s">
        <v>124</v>
      </c>
      <c r="B27" s="15">
        <v>0</v>
      </c>
    </row>
    <row r="29" spans="1:7" x14ac:dyDescent="0.3">
      <c r="A29" s="3" t="s">
        <v>125</v>
      </c>
    </row>
    <row r="30" spans="1:7" x14ac:dyDescent="0.3">
      <c r="A30" s="6" t="s">
        <v>126</v>
      </c>
      <c r="B30" s="7">
        <f>SENESCYT_TIC!C12</f>
        <v>1021</v>
      </c>
    </row>
    <row r="31" spans="1:7" x14ac:dyDescent="0.3">
      <c r="A31" s="6" t="s">
        <v>127</v>
      </c>
      <c r="B31" s="7">
        <f>SENESCYT_TIC!F18</f>
        <v>69</v>
      </c>
    </row>
    <row r="32" spans="1:7" x14ac:dyDescent="0.3">
      <c r="A32" s="5"/>
      <c r="B32" s="5" t="s">
        <v>128</v>
      </c>
      <c r="C32" s="5" t="s">
        <v>129</v>
      </c>
      <c r="D32" s="5" t="s">
        <v>130</v>
      </c>
    </row>
    <row r="33" spans="1:4" x14ac:dyDescent="0.3">
      <c r="A33" s="6" t="s">
        <v>131</v>
      </c>
      <c r="B33" s="7">
        <f>B31</f>
        <v>69</v>
      </c>
      <c r="C33" s="15">
        <f>ROUND(B30/B41*B39,0)</f>
        <v>156</v>
      </c>
      <c r="D33" s="15">
        <f>ROUND(B30/B41,0)</f>
        <v>255</v>
      </c>
    </row>
    <row r="34" spans="1:4" x14ac:dyDescent="0.3">
      <c r="A34" s="10" t="s">
        <v>132</v>
      </c>
    </row>
    <row r="35" spans="1:4" x14ac:dyDescent="0.3">
      <c r="A35" s="6" t="s">
        <v>133</v>
      </c>
      <c r="B35" s="13">
        <v>0.02</v>
      </c>
      <c r="C35" s="13">
        <v>0.05</v>
      </c>
      <c r="D35" s="13">
        <v>0.1</v>
      </c>
    </row>
    <row r="37" spans="1:4" x14ac:dyDescent="0.3">
      <c r="A37" s="3" t="s">
        <v>134</v>
      </c>
    </row>
    <row r="38" spans="1:4" x14ac:dyDescent="0.3">
      <c r="A38" s="6" t="s">
        <v>135</v>
      </c>
      <c r="B38" s="15">
        <v>40</v>
      </c>
    </row>
    <row r="39" spans="1:4" x14ac:dyDescent="0.3">
      <c r="A39" s="6" t="s">
        <v>136</v>
      </c>
      <c r="B39" s="13">
        <v>0.60960000000000003</v>
      </c>
    </row>
    <row r="40" spans="1:4" x14ac:dyDescent="0.3">
      <c r="A40" s="6" t="s">
        <v>137</v>
      </c>
      <c r="B40" s="16">
        <v>2027</v>
      </c>
    </row>
    <row r="41" spans="1:4" x14ac:dyDescent="0.3">
      <c r="A41" s="6" t="s">
        <v>138</v>
      </c>
      <c r="B41" s="16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2"/>
  <sheetViews>
    <sheetView workbookViewId="0"/>
  </sheetViews>
  <sheetFormatPr baseColWidth="10" defaultColWidth="8.88671875" defaultRowHeight="14.4" x14ac:dyDescent="0.3"/>
  <cols>
    <col min="1" max="1" width="56" customWidth="1"/>
    <col min="2" max="2" width="18" customWidth="1"/>
    <col min="3" max="3" width="14" customWidth="1"/>
    <col min="4" max="10" width="18" customWidth="1"/>
  </cols>
  <sheetData>
    <row r="1" spans="1:10" ht="18" x14ac:dyDescent="0.35">
      <c r="A1" s="1" t="s">
        <v>139</v>
      </c>
    </row>
    <row r="2" spans="1:10" x14ac:dyDescent="0.3">
      <c r="A2" s="2" t="s">
        <v>140</v>
      </c>
    </row>
    <row r="4" spans="1:10" ht="28.8" x14ac:dyDescent="0.3">
      <c r="A4" s="5" t="s">
        <v>111</v>
      </c>
      <c r="B4" s="5" t="s">
        <v>141</v>
      </c>
      <c r="C4" s="5" t="s">
        <v>142</v>
      </c>
      <c r="D4" s="5" t="s">
        <v>143</v>
      </c>
      <c r="E4" s="5" t="s">
        <v>144</v>
      </c>
      <c r="F4" s="5" t="s">
        <v>145</v>
      </c>
      <c r="G4" s="5" t="s">
        <v>146</v>
      </c>
      <c r="H4" s="5" t="s">
        <v>147</v>
      </c>
      <c r="I4" s="5" t="s">
        <v>148</v>
      </c>
      <c r="J4" s="5" t="s">
        <v>149</v>
      </c>
    </row>
    <row r="5" spans="1:10" x14ac:dyDescent="0.3">
      <c r="A5" s="6" t="str">
        <f>SRI_LosRios!A5</f>
        <v>G1 Agricultura, ganadería y silvicultura</v>
      </c>
      <c r="B5" s="7">
        <f>SRI_LosRios!D5</f>
        <v>1397</v>
      </c>
      <c r="C5" s="17">
        <f>Supuestos!$B$8</f>
        <v>0.3</v>
      </c>
      <c r="D5" s="11">
        <f t="shared" ref="D5:D13" si="0">B5*C5</f>
        <v>419.09999999999997</v>
      </c>
      <c r="E5" s="11">
        <f>D5*Supuestos!B13</f>
        <v>4.1909999999999998</v>
      </c>
      <c r="F5" s="11">
        <f>D5*Supuestos!C13</f>
        <v>6.2864999999999993</v>
      </c>
      <c r="G5" s="11">
        <f>D5*Supuestos!D13</f>
        <v>10.477499999999999</v>
      </c>
      <c r="H5" s="11">
        <f>D5*Supuestos!E13</f>
        <v>14.6685</v>
      </c>
      <c r="I5" s="11">
        <f>D5*Supuestos!F13</f>
        <v>20.954999999999998</v>
      </c>
      <c r="J5" s="11">
        <f>D5*Supuestos!G13</f>
        <v>29.337</v>
      </c>
    </row>
    <row r="6" spans="1:10" x14ac:dyDescent="0.3">
      <c r="A6" s="6" t="str">
        <f>SRI_LosRios!A6</f>
        <v>G2 Pesca y acuicultura</v>
      </c>
      <c r="B6" s="7">
        <f>SRI_LosRios!D6</f>
        <v>14</v>
      </c>
      <c r="C6" s="17">
        <f>Supuestos!$B$8</f>
        <v>0.3</v>
      </c>
      <c r="D6" s="11">
        <f t="shared" si="0"/>
        <v>4.2</v>
      </c>
      <c r="E6" s="11">
        <f>D6*Supuestos!B14</f>
        <v>8.4000000000000005E-2</v>
      </c>
      <c r="F6" s="11">
        <f>D6*Supuestos!C14</f>
        <v>0.126</v>
      </c>
      <c r="G6" s="11">
        <f>D6*Supuestos!D14</f>
        <v>0.21000000000000002</v>
      </c>
      <c r="H6" s="11">
        <f>D6*Supuestos!E14</f>
        <v>0.29400000000000004</v>
      </c>
      <c r="I6" s="11">
        <f>D6*Supuestos!F14</f>
        <v>0.42000000000000004</v>
      </c>
      <c r="J6" s="11">
        <f>D6*Supuestos!G14</f>
        <v>0.58800000000000008</v>
      </c>
    </row>
    <row r="7" spans="1:10" x14ac:dyDescent="0.3">
      <c r="A7" s="6" t="str">
        <f>SRI_LosRios!A7</f>
        <v>G3 Alimentos y bebidas (agroindustria)</v>
      </c>
      <c r="B7" s="7">
        <f>SRI_LosRios!D7</f>
        <v>93</v>
      </c>
      <c r="C7" s="17">
        <f>Supuestos!$B$8</f>
        <v>0.3</v>
      </c>
      <c r="D7" s="11">
        <f t="shared" si="0"/>
        <v>27.9</v>
      </c>
      <c r="E7" s="11">
        <f>D7*Supuestos!B15</f>
        <v>1.395</v>
      </c>
      <c r="F7" s="11">
        <f>D7*Supuestos!C15</f>
        <v>1.9530000000000001</v>
      </c>
      <c r="G7" s="11">
        <f>D7*Supuestos!D15</f>
        <v>2.79</v>
      </c>
      <c r="H7" s="11">
        <f>D7*Supuestos!E15</f>
        <v>3.9060000000000001</v>
      </c>
      <c r="I7" s="11">
        <f>D7*Supuestos!F15</f>
        <v>5.0219999999999994</v>
      </c>
      <c r="J7" s="11">
        <f>D7*Supuestos!G15</f>
        <v>6.6959999999999997</v>
      </c>
    </row>
    <row r="8" spans="1:10" x14ac:dyDescent="0.3">
      <c r="A8" s="6" t="str">
        <f>SRI_LosRios!A8</f>
        <v>G4 Otras manufacturas</v>
      </c>
      <c r="B8" s="7">
        <f>SRI_LosRios!D8</f>
        <v>163</v>
      </c>
      <c r="C8" s="17">
        <f>Supuestos!$B$8</f>
        <v>0.3</v>
      </c>
      <c r="D8" s="11">
        <f t="shared" si="0"/>
        <v>48.9</v>
      </c>
      <c r="E8" s="11">
        <f>D8*Supuestos!B16</f>
        <v>1.956</v>
      </c>
      <c r="F8" s="11">
        <f>D8*Supuestos!C16</f>
        <v>2.4450000000000003</v>
      </c>
      <c r="G8" s="11">
        <f>D8*Supuestos!D16</f>
        <v>3.9119999999999999</v>
      </c>
      <c r="H8" s="11">
        <f>D8*Supuestos!E16</f>
        <v>5.3789999999999996</v>
      </c>
      <c r="I8" s="11">
        <f>D8*Supuestos!F16</f>
        <v>7.3349999999999991</v>
      </c>
      <c r="J8" s="11">
        <f>D8*Supuestos!G16</f>
        <v>9.7800000000000011</v>
      </c>
    </row>
    <row r="9" spans="1:10" x14ac:dyDescent="0.3">
      <c r="A9" s="6" t="str">
        <f>SRI_LosRios!A9</f>
        <v>G5 Energía, agua y saneamiento</v>
      </c>
      <c r="B9" s="7">
        <f>SRI_LosRios!D9</f>
        <v>97</v>
      </c>
      <c r="C9" s="17">
        <f>Supuestos!$B$8</f>
        <v>0.3</v>
      </c>
      <c r="D9" s="11">
        <f t="shared" si="0"/>
        <v>29.099999999999998</v>
      </c>
      <c r="E9" s="11">
        <f>D9*Supuestos!B17</f>
        <v>1.4550000000000001</v>
      </c>
      <c r="F9" s="11">
        <f>D9*Supuestos!C17</f>
        <v>2.0369999999999999</v>
      </c>
      <c r="G9" s="11">
        <f>D9*Supuestos!D17</f>
        <v>2.91</v>
      </c>
      <c r="H9" s="11">
        <f>D9*Supuestos!E17</f>
        <v>4.0739999999999998</v>
      </c>
      <c r="I9" s="11">
        <f>D9*Supuestos!F17</f>
        <v>5.82</v>
      </c>
      <c r="J9" s="11">
        <f>D9*Supuestos!G17</f>
        <v>7.5659999999999998</v>
      </c>
    </row>
    <row r="10" spans="1:10" x14ac:dyDescent="0.3">
      <c r="A10" s="6" t="str">
        <f>SRI_LosRios!A10</f>
        <v>G6 Transporte y almacenamiento</v>
      </c>
      <c r="B10" s="7">
        <f>SRI_LosRios!D10</f>
        <v>507</v>
      </c>
      <c r="C10" s="17">
        <f>Supuestos!$B$8</f>
        <v>0.3</v>
      </c>
      <c r="D10" s="11">
        <f t="shared" si="0"/>
        <v>152.1</v>
      </c>
      <c r="E10" s="11">
        <f>D10*Supuestos!B18</f>
        <v>3.0419999999999998</v>
      </c>
      <c r="F10" s="11">
        <f>D10*Supuestos!C18</f>
        <v>4.5629999999999997</v>
      </c>
      <c r="G10" s="11">
        <f>D10*Supuestos!D18</f>
        <v>7.6050000000000004</v>
      </c>
      <c r="H10" s="11">
        <f>D10*Supuestos!E18</f>
        <v>10.647</v>
      </c>
      <c r="I10" s="11">
        <f>D10*Supuestos!F18</f>
        <v>15.21</v>
      </c>
      <c r="J10" s="11">
        <f>D10*Supuestos!G18</f>
        <v>21.294</v>
      </c>
    </row>
    <row r="11" spans="1:10" x14ac:dyDescent="0.3">
      <c r="A11" s="6" t="str">
        <f>SRI_LosRios!A11</f>
        <v>G7 Comercio al por mayor</v>
      </c>
      <c r="B11" s="7">
        <f>SRI_LosRios!D11</f>
        <v>1067</v>
      </c>
      <c r="C11" s="17">
        <f>Supuestos!$B$8</f>
        <v>0.3</v>
      </c>
      <c r="D11" s="11">
        <f t="shared" si="0"/>
        <v>320.09999999999997</v>
      </c>
      <c r="E11" s="11">
        <f>D11*Supuestos!B19</f>
        <v>1.6004999999999998</v>
      </c>
      <c r="F11" s="11">
        <f>D11*Supuestos!C19</f>
        <v>2.4007499999999995</v>
      </c>
      <c r="G11" s="11">
        <f>D11*Supuestos!D19</f>
        <v>4.801499999999999</v>
      </c>
      <c r="H11" s="11">
        <f>D11*Supuestos!E19</f>
        <v>6.4019999999999992</v>
      </c>
      <c r="I11" s="11">
        <f>D11*Supuestos!F19</f>
        <v>9.602999999999998</v>
      </c>
      <c r="J11" s="11">
        <f>D11*Supuestos!G19</f>
        <v>12.803999999999998</v>
      </c>
    </row>
    <row r="12" spans="1:10" x14ac:dyDescent="0.3">
      <c r="A12" s="6" t="str">
        <f>SRI_LosRios!A12</f>
        <v>G8 Administración pública (GAD y entidades)</v>
      </c>
      <c r="B12" s="7">
        <f>SRI_LosRios!D12</f>
        <v>96</v>
      </c>
      <c r="C12" s="17">
        <f>Supuestos!$B$9</f>
        <v>1</v>
      </c>
      <c r="D12" s="11">
        <f t="shared" si="0"/>
        <v>96</v>
      </c>
      <c r="E12" s="11">
        <f>D12*Supuestos!B20</f>
        <v>9.6000000000000014</v>
      </c>
      <c r="F12" s="11">
        <f>D12*Supuestos!C20</f>
        <v>14.399999999999999</v>
      </c>
      <c r="G12" s="11">
        <f>D12*Supuestos!D20</f>
        <v>24</v>
      </c>
      <c r="H12" s="11">
        <f>D12*Supuestos!E20</f>
        <v>33.599999999999994</v>
      </c>
      <c r="I12" s="11">
        <f>D12*Supuestos!F20</f>
        <v>38.400000000000006</v>
      </c>
      <c r="J12" s="11">
        <f>D12*Supuestos!G20</f>
        <v>52.800000000000004</v>
      </c>
    </row>
    <row r="13" spans="1:10" x14ac:dyDescent="0.3">
      <c r="A13" s="6" t="str">
        <f>SRI_LosRios!A13</f>
        <v>G9 Proveedores tecnológicos (TIC, ingeniería, I+D)</v>
      </c>
      <c r="B13" s="7">
        <f>SRI_LosRios!D13</f>
        <v>257</v>
      </c>
      <c r="C13" s="17">
        <f>Supuestos!$B$8</f>
        <v>0.3</v>
      </c>
      <c r="D13" s="11">
        <f t="shared" si="0"/>
        <v>77.099999999999994</v>
      </c>
      <c r="E13" s="11">
        <f>D13*Supuestos!B21</f>
        <v>11.565</v>
      </c>
      <c r="F13" s="11">
        <f>D13*Supuestos!C21</f>
        <v>15.42</v>
      </c>
      <c r="G13" s="11">
        <f>D13*Supuestos!D21</f>
        <v>23.13</v>
      </c>
      <c r="H13" s="11">
        <f>D13*Supuestos!E21</f>
        <v>30.84</v>
      </c>
      <c r="I13" s="11">
        <f>D13*Supuestos!F21</f>
        <v>38.549999999999997</v>
      </c>
      <c r="J13" s="11">
        <f>D13*Supuestos!G21</f>
        <v>46.26</v>
      </c>
    </row>
    <row r="14" spans="1:10" x14ac:dyDescent="0.3">
      <c r="A14" s="8" t="s">
        <v>150</v>
      </c>
      <c r="B14" s="18">
        <f>SUM(B5:B13)</f>
        <v>3691</v>
      </c>
      <c r="D14" s="18">
        <f t="shared" ref="D14:J14" si="1">SUM(D5:D13)</f>
        <v>1174.4999999999998</v>
      </c>
      <c r="E14" s="18">
        <f t="shared" si="1"/>
        <v>34.888500000000001</v>
      </c>
      <c r="F14" s="18">
        <f t="shared" si="1"/>
        <v>49.631249999999994</v>
      </c>
      <c r="G14" s="18">
        <f t="shared" si="1"/>
        <v>79.835999999999999</v>
      </c>
      <c r="H14" s="18">
        <f t="shared" si="1"/>
        <v>109.81049999999999</v>
      </c>
      <c r="I14" s="18">
        <f t="shared" si="1"/>
        <v>141.315</v>
      </c>
      <c r="J14" s="18">
        <f t="shared" si="1"/>
        <v>187.125</v>
      </c>
    </row>
    <row r="16" spans="1:10" x14ac:dyDescent="0.3">
      <c r="A16" s="3" t="s">
        <v>151</v>
      </c>
    </row>
    <row r="17" spans="1:4" ht="28.8" x14ac:dyDescent="0.3">
      <c r="A17" s="5" t="s">
        <v>152</v>
      </c>
      <c r="B17" s="5" t="s">
        <v>153</v>
      </c>
      <c r="C17" s="5" t="s">
        <v>154</v>
      </c>
      <c r="D17" s="5" t="s">
        <v>155</v>
      </c>
    </row>
    <row r="18" spans="1:4" x14ac:dyDescent="0.3">
      <c r="A18" s="8" t="s">
        <v>120</v>
      </c>
      <c r="B18" s="7">
        <f>E14*Supuestos!B26-Supuestos!$B$27</f>
        <v>34.888500000000001</v>
      </c>
      <c r="C18" s="7">
        <f>F14*Supuestos!B26-Supuestos!$B$27</f>
        <v>49.631249999999994</v>
      </c>
      <c r="D18" s="11">
        <f>C18/5</f>
        <v>9.9262499999999996</v>
      </c>
    </row>
    <row r="19" spans="1:4" x14ac:dyDescent="0.3">
      <c r="A19" s="8" t="s">
        <v>121</v>
      </c>
      <c r="B19" s="7">
        <f>G14*Supuestos!C26-Supuestos!$B$27</f>
        <v>119.75399999999999</v>
      </c>
      <c r="C19" s="7">
        <f>H14*Supuestos!C26-Supuestos!$B$27</f>
        <v>164.71574999999999</v>
      </c>
      <c r="D19" s="11">
        <f>C19/5</f>
        <v>32.943149999999996</v>
      </c>
    </row>
    <row r="20" spans="1:4" x14ac:dyDescent="0.3">
      <c r="A20" s="8" t="s">
        <v>122</v>
      </c>
      <c r="B20" s="7">
        <f>I14*Supuestos!D26-Supuestos!$B$27</f>
        <v>282.63</v>
      </c>
      <c r="C20" s="7">
        <f>J14*Supuestos!D26-Supuestos!$B$27</f>
        <v>374.25</v>
      </c>
      <c r="D20" s="11">
        <f>C20/5</f>
        <v>74.849999999999994</v>
      </c>
    </row>
    <row r="22" spans="1:4" x14ac:dyDescent="0.3">
      <c r="A22" s="3" t="s">
        <v>156</v>
      </c>
    </row>
    <row r="23" spans="1:4" x14ac:dyDescent="0.3">
      <c r="A23" s="5" t="s">
        <v>111</v>
      </c>
      <c r="B23" s="5" t="s">
        <v>157</v>
      </c>
      <c r="C23" s="5" t="s">
        <v>158</v>
      </c>
    </row>
    <row r="24" spans="1:4" x14ac:dyDescent="0.3">
      <c r="A24" s="6" t="str">
        <f t="shared" ref="A24:A32" si="2">A5</f>
        <v>G1 Agricultura, ganadería y silvicultura</v>
      </c>
      <c r="B24" s="11">
        <f>H5*Supuestos!$C$26</f>
        <v>22.002749999999999</v>
      </c>
      <c r="C24" s="12">
        <f t="shared" ref="C24:C32" si="3">B24/SUM($B$24:$B$32)</f>
        <v>0.13358012211946946</v>
      </c>
    </row>
    <row r="25" spans="1:4" x14ac:dyDescent="0.3">
      <c r="A25" s="6" t="str">
        <f t="shared" si="2"/>
        <v>G2 Pesca y acuicultura</v>
      </c>
      <c r="B25" s="11">
        <f>H6*Supuestos!$C$26</f>
        <v>0.44100000000000006</v>
      </c>
      <c r="C25" s="12">
        <f t="shared" si="3"/>
        <v>2.6773395986722588E-3</v>
      </c>
    </row>
    <row r="26" spans="1:4" x14ac:dyDescent="0.3">
      <c r="A26" s="6" t="str">
        <f t="shared" si="2"/>
        <v>G3 Alimentos y bebidas (agroindustria)</v>
      </c>
      <c r="B26" s="11">
        <f>H7*Supuestos!$C$26</f>
        <v>5.859</v>
      </c>
      <c r="C26" s="12">
        <f t="shared" si="3"/>
        <v>3.5570368953788574E-2</v>
      </c>
    </row>
    <row r="27" spans="1:4" x14ac:dyDescent="0.3">
      <c r="A27" s="6" t="str">
        <f t="shared" si="2"/>
        <v>G4 Otras manufacturas</v>
      </c>
      <c r="B27" s="11">
        <f>H8*Supuestos!$C$26</f>
        <v>8.0685000000000002</v>
      </c>
      <c r="C27" s="12">
        <f t="shared" si="3"/>
        <v>4.8984386738973054E-2</v>
      </c>
    </row>
    <row r="28" spans="1:4" x14ac:dyDescent="0.3">
      <c r="A28" s="6" t="str">
        <f t="shared" si="2"/>
        <v>G5 Energía, agua y saneamiento</v>
      </c>
      <c r="B28" s="11">
        <f>H9*Supuestos!$C$26</f>
        <v>6.1109999999999998</v>
      </c>
      <c r="C28" s="12">
        <f t="shared" si="3"/>
        <v>3.710027729588701E-2</v>
      </c>
    </row>
    <row r="29" spans="1:4" x14ac:dyDescent="0.3">
      <c r="A29" s="6" t="str">
        <f t="shared" si="2"/>
        <v>G6 Transporte y almacenamiento</v>
      </c>
      <c r="B29" s="11">
        <f>H10*Supuestos!$C$26</f>
        <v>15.970500000000001</v>
      </c>
      <c r="C29" s="12">
        <f t="shared" si="3"/>
        <v>9.6957941180488227E-2</v>
      </c>
    </row>
    <row r="30" spans="1:4" x14ac:dyDescent="0.3">
      <c r="A30" s="6" t="str">
        <f t="shared" si="2"/>
        <v>G7 Comercio al por mayor</v>
      </c>
      <c r="B30" s="11">
        <f>H11*Supuestos!$C$26</f>
        <v>9.602999999999998</v>
      </c>
      <c r="C30" s="12">
        <f t="shared" si="3"/>
        <v>5.8300435750679572E-2</v>
      </c>
    </row>
    <row r="31" spans="1:4" x14ac:dyDescent="0.3">
      <c r="A31" s="6" t="str">
        <f t="shared" si="2"/>
        <v>G8 Administración pública (GAD y entidades)</v>
      </c>
      <c r="B31" s="11">
        <f>H12*Supuestos!$C$26</f>
        <v>50.399999999999991</v>
      </c>
      <c r="C31" s="12">
        <f t="shared" si="3"/>
        <v>0.3059816684196866</v>
      </c>
    </row>
    <row r="32" spans="1:4" x14ac:dyDescent="0.3">
      <c r="A32" s="6" t="str">
        <f t="shared" si="2"/>
        <v>G9 Proveedores tecnológicos (TIC, ingeniería, I+D)</v>
      </c>
      <c r="B32" s="11">
        <f>H13*Supuestos!$C$26</f>
        <v>46.26</v>
      </c>
      <c r="C32" s="12">
        <f t="shared" si="3"/>
        <v>0.28084745994235527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workbookViewId="0"/>
  </sheetViews>
  <sheetFormatPr baseColWidth="10" defaultColWidth="8.88671875" defaultRowHeight="14.4" x14ac:dyDescent="0.3"/>
  <cols>
    <col min="1" max="1" width="60" customWidth="1"/>
    <col min="2" max="4" width="18" customWidth="1"/>
  </cols>
  <sheetData>
    <row r="1" spans="1:4" ht="18" x14ac:dyDescent="0.35">
      <c r="A1" s="1" t="s">
        <v>159</v>
      </c>
    </row>
    <row r="2" spans="1:4" x14ac:dyDescent="0.3">
      <c r="A2" s="2" t="s">
        <v>160</v>
      </c>
    </row>
    <row r="4" spans="1:4" x14ac:dyDescent="0.3">
      <c r="A4" s="5" t="s">
        <v>161</v>
      </c>
      <c r="B4" s="5" t="s">
        <v>128</v>
      </c>
      <c r="C4" s="5" t="s">
        <v>129</v>
      </c>
      <c r="D4" s="5" t="s">
        <v>130</v>
      </c>
    </row>
    <row r="5" spans="1:4" x14ac:dyDescent="0.3">
      <c r="A5" s="6" t="s">
        <v>162</v>
      </c>
      <c r="B5" s="7">
        <f>Supuestos!B33</f>
        <v>69</v>
      </c>
      <c r="C5" s="7">
        <f>Supuestos!C33</f>
        <v>156</v>
      </c>
      <c r="D5" s="7">
        <f>Supuestos!D33</f>
        <v>255</v>
      </c>
    </row>
    <row r="6" spans="1:4" x14ac:dyDescent="0.3">
      <c r="A6" s="6" t="s">
        <v>163</v>
      </c>
      <c r="B6" s="12">
        <f>Supuestos!B35</f>
        <v>0.02</v>
      </c>
      <c r="C6" s="12">
        <f>Supuestos!C35</f>
        <v>0.05</v>
      </c>
      <c r="D6" s="12">
        <f>Supuestos!D35</f>
        <v>0.1</v>
      </c>
    </row>
    <row r="7" spans="1:4" x14ac:dyDescent="0.3">
      <c r="A7" s="8" t="s">
        <v>164</v>
      </c>
      <c r="B7" s="18">
        <f>B5*B6</f>
        <v>1.3800000000000001</v>
      </c>
      <c r="C7" s="18">
        <f>C5*C6</f>
        <v>7.8000000000000007</v>
      </c>
      <c r="D7" s="18">
        <f>D5*D6</f>
        <v>25.5</v>
      </c>
    </row>
    <row r="9" spans="1:4" x14ac:dyDescent="0.3">
      <c r="A9" s="3" t="s">
        <v>165</v>
      </c>
    </row>
    <row r="10" spans="1:4" x14ac:dyDescent="0.3">
      <c r="A10" s="5" t="s">
        <v>166</v>
      </c>
      <c r="B10" s="5" t="s">
        <v>128</v>
      </c>
      <c r="C10" s="5" t="s">
        <v>129</v>
      </c>
      <c r="D10" s="5" t="s">
        <v>130</v>
      </c>
    </row>
    <row r="11" spans="1:4" x14ac:dyDescent="0.3">
      <c r="A11" s="6" t="s">
        <v>167</v>
      </c>
      <c r="B11" s="11">
        <f>B7*4</f>
        <v>5.5200000000000005</v>
      </c>
      <c r="C11" s="11">
        <f>C7*4</f>
        <v>31.200000000000003</v>
      </c>
      <c r="D11" s="11">
        <f>D7*4</f>
        <v>102</v>
      </c>
    </row>
    <row r="12" spans="1:4" x14ac:dyDescent="0.3">
      <c r="A12" s="6" t="s">
        <v>168</v>
      </c>
      <c r="B12" s="11">
        <f>B7*5</f>
        <v>6.9</v>
      </c>
      <c r="C12" s="11">
        <f>C7*5</f>
        <v>39</v>
      </c>
      <c r="D12" s="11">
        <f>D7*5</f>
        <v>127.5</v>
      </c>
    </row>
    <row r="14" spans="1:4" x14ac:dyDescent="0.3">
      <c r="A14" s="3" t="s">
        <v>169</v>
      </c>
    </row>
    <row r="15" spans="1:4" x14ac:dyDescent="0.3">
      <c r="A15" s="5" t="s">
        <v>161</v>
      </c>
      <c r="B15" s="5" t="s">
        <v>170</v>
      </c>
    </row>
    <row r="16" spans="1:4" x14ac:dyDescent="0.3">
      <c r="A16" s="6" t="s">
        <v>171</v>
      </c>
      <c r="B16" s="19">
        <f>Supuestos!B40+Supuestos!B41</f>
        <v>2031</v>
      </c>
    </row>
    <row r="17" spans="1:2" x14ac:dyDescent="0.3">
      <c r="A17" s="6" t="s">
        <v>172</v>
      </c>
      <c r="B17" s="11">
        <f>Supuestos!B38*Supuestos!B39</f>
        <v>24.384</v>
      </c>
    </row>
    <row r="18" spans="1:2" x14ac:dyDescent="0.3">
      <c r="A18" s="6" t="s">
        <v>173</v>
      </c>
      <c r="B18" s="11">
        <f>MAX(0,2030-B16+1)*B17</f>
        <v>0</v>
      </c>
    </row>
    <row r="19" spans="1:2" x14ac:dyDescent="0.3">
      <c r="A19" s="6" t="s">
        <v>174</v>
      </c>
      <c r="B19" s="11">
        <f>MAX(0,2031-B16+1)*B17</f>
        <v>24.384</v>
      </c>
    </row>
    <row r="20" spans="1:2" x14ac:dyDescent="0.3">
      <c r="A20" s="6" t="s">
        <v>175</v>
      </c>
      <c r="B20" s="11">
        <f>B17</f>
        <v>24.384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7"/>
  <sheetViews>
    <sheetView workbookViewId="0"/>
  </sheetViews>
  <sheetFormatPr baseColWidth="10" defaultColWidth="8.88671875" defaultRowHeight="14.4" x14ac:dyDescent="0.3"/>
  <cols>
    <col min="1" max="1" width="34" customWidth="1"/>
    <col min="2" max="2" width="22" customWidth="1"/>
    <col min="3" max="3" width="30" customWidth="1"/>
    <col min="4" max="4" width="24" customWidth="1"/>
    <col min="5" max="6" width="22" customWidth="1"/>
  </cols>
  <sheetData>
    <row r="1" spans="1:4" ht="18" x14ac:dyDescent="0.35">
      <c r="A1" s="1" t="s">
        <v>176</v>
      </c>
    </row>
    <row r="2" spans="1:4" x14ac:dyDescent="0.3">
      <c r="A2" s="2" t="s">
        <v>177</v>
      </c>
    </row>
    <row r="4" spans="1:4" ht="15.6" x14ac:dyDescent="0.3">
      <c r="A4" s="20" t="s">
        <v>178</v>
      </c>
    </row>
    <row r="5" spans="1:4" x14ac:dyDescent="0.3">
      <c r="A5" s="3" t="s">
        <v>179</v>
      </c>
    </row>
    <row r="6" spans="1:4" x14ac:dyDescent="0.3">
      <c r="A6" s="5" t="s">
        <v>180</v>
      </c>
      <c r="B6" s="5" t="s">
        <v>128</v>
      </c>
      <c r="C6" s="5" t="s">
        <v>129</v>
      </c>
      <c r="D6" s="5" t="s">
        <v>130</v>
      </c>
    </row>
    <row r="7" spans="1:4" x14ac:dyDescent="0.3">
      <c r="A7" s="8" t="s">
        <v>181</v>
      </c>
      <c r="B7" s="21">
        <f>Demanda!B18-Oferta!B11</f>
        <v>29.368500000000001</v>
      </c>
      <c r="C7" s="21">
        <f>Demanda!B18-Oferta!C11</f>
        <v>3.6884999999999977</v>
      </c>
      <c r="D7" s="21">
        <f>Demanda!B18-Oferta!D11</f>
        <v>-67.111500000000007</v>
      </c>
    </row>
    <row r="8" spans="1:4" x14ac:dyDescent="0.3">
      <c r="A8" s="8" t="s">
        <v>182</v>
      </c>
      <c r="B8" s="21">
        <f>Demanda!B19-Oferta!B11</f>
        <v>114.23399999999999</v>
      </c>
      <c r="C8" s="21">
        <f>Demanda!B19-Oferta!C11</f>
        <v>88.553999999999988</v>
      </c>
      <c r="D8" s="21">
        <f>Demanda!B19-Oferta!D11</f>
        <v>17.753999999999991</v>
      </c>
    </row>
    <row r="9" spans="1:4" x14ac:dyDescent="0.3">
      <c r="A9" s="8" t="s">
        <v>183</v>
      </c>
      <c r="B9" s="21">
        <f>Demanda!B20-Oferta!B11</f>
        <v>277.11</v>
      </c>
      <c r="C9" s="21">
        <f>Demanda!B20-Oferta!C11</f>
        <v>251.43</v>
      </c>
      <c r="D9" s="21">
        <f>Demanda!B20-Oferta!D11</f>
        <v>180.63</v>
      </c>
    </row>
    <row r="11" spans="1:4" x14ac:dyDescent="0.3">
      <c r="A11" s="3" t="s">
        <v>184</v>
      </c>
    </row>
    <row r="12" spans="1:4" x14ac:dyDescent="0.3">
      <c r="A12" s="5" t="s">
        <v>180</v>
      </c>
      <c r="B12" s="5" t="s">
        <v>128</v>
      </c>
      <c r="C12" s="5" t="s">
        <v>129</v>
      </c>
      <c r="D12" s="5" t="s">
        <v>130</v>
      </c>
    </row>
    <row r="13" spans="1:4" x14ac:dyDescent="0.3">
      <c r="A13" s="8" t="s">
        <v>181</v>
      </c>
      <c r="B13" s="21">
        <f>Demanda!B18-Oferta!B11-Oferta!B18</f>
        <v>29.368500000000001</v>
      </c>
      <c r="C13" s="21">
        <f>Demanda!B18-Oferta!C11-Oferta!B18</f>
        <v>3.6884999999999977</v>
      </c>
      <c r="D13" s="21">
        <f>Demanda!B18-Oferta!D11-Oferta!B18</f>
        <v>-67.111500000000007</v>
      </c>
    </row>
    <row r="14" spans="1:4" x14ac:dyDescent="0.3">
      <c r="A14" s="8" t="s">
        <v>182</v>
      </c>
      <c r="B14" s="21">
        <f>Demanda!B19-Oferta!B11-Oferta!B18</f>
        <v>114.23399999999999</v>
      </c>
      <c r="C14" s="21">
        <f>Demanda!B19-Oferta!C11-Oferta!B18</f>
        <v>88.553999999999988</v>
      </c>
      <c r="D14" s="21">
        <f>Demanda!B19-Oferta!D11-Oferta!B18</f>
        <v>17.753999999999991</v>
      </c>
    </row>
    <row r="15" spans="1:4" x14ac:dyDescent="0.3">
      <c r="A15" s="8" t="s">
        <v>183</v>
      </c>
      <c r="B15" s="21">
        <f>Demanda!B20-Oferta!B11-Oferta!B18</f>
        <v>277.11</v>
      </c>
      <c r="C15" s="21">
        <f>Demanda!B20-Oferta!C11-Oferta!B18</f>
        <v>251.43</v>
      </c>
      <c r="D15" s="21">
        <f>Demanda!B20-Oferta!D11-Oferta!B18</f>
        <v>180.63</v>
      </c>
    </row>
    <row r="18" spans="1:4" ht="15.6" x14ac:dyDescent="0.3">
      <c r="A18" s="20" t="s">
        <v>185</v>
      </c>
    </row>
    <row r="19" spans="1:4" x14ac:dyDescent="0.3">
      <c r="A19" s="3" t="s">
        <v>179</v>
      </c>
    </row>
    <row r="20" spans="1:4" x14ac:dyDescent="0.3">
      <c r="A20" s="5" t="s">
        <v>180</v>
      </c>
      <c r="B20" s="5" t="s">
        <v>128</v>
      </c>
      <c r="C20" s="5" t="s">
        <v>129</v>
      </c>
      <c r="D20" s="5" t="s">
        <v>130</v>
      </c>
    </row>
    <row r="21" spans="1:4" x14ac:dyDescent="0.3">
      <c r="A21" s="8" t="s">
        <v>181</v>
      </c>
      <c r="B21" s="21">
        <f>Demanda!C18-Oferta!B12</f>
        <v>42.731249999999996</v>
      </c>
      <c r="C21" s="21">
        <f>Demanda!C18-Oferta!C12</f>
        <v>10.631249999999994</v>
      </c>
      <c r="D21" s="21">
        <f>Demanda!C18-Oferta!D12</f>
        <v>-77.868750000000006</v>
      </c>
    </row>
    <row r="22" spans="1:4" x14ac:dyDescent="0.3">
      <c r="A22" s="8" t="s">
        <v>182</v>
      </c>
      <c r="B22" s="21">
        <f>Demanda!C19-Oferta!B12</f>
        <v>157.81574999999998</v>
      </c>
      <c r="C22" s="21">
        <f>Demanda!C19-Oferta!C12</f>
        <v>125.71574999999999</v>
      </c>
      <c r="D22" s="21">
        <f>Demanda!C19-Oferta!D12</f>
        <v>37.215749999999986</v>
      </c>
    </row>
    <row r="23" spans="1:4" x14ac:dyDescent="0.3">
      <c r="A23" s="8" t="s">
        <v>183</v>
      </c>
      <c r="B23" s="21">
        <f>Demanda!C20-Oferta!B12</f>
        <v>367.35</v>
      </c>
      <c r="C23" s="21">
        <f>Demanda!C20-Oferta!C12</f>
        <v>335.25</v>
      </c>
      <c r="D23" s="21">
        <f>Demanda!C20-Oferta!D12</f>
        <v>246.75</v>
      </c>
    </row>
    <row r="25" spans="1:4" x14ac:dyDescent="0.3">
      <c r="A25" s="3" t="s">
        <v>184</v>
      </c>
    </row>
    <row r="26" spans="1:4" x14ac:dyDescent="0.3">
      <c r="A26" s="5" t="s">
        <v>180</v>
      </c>
      <c r="B26" s="5" t="s">
        <v>128</v>
      </c>
      <c r="C26" s="5" t="s">
        <v>129</v>
      </c>
      <c r="D26" s="5" t="s">
        <v>130</v>
      </c>
    </row>
    <row r="27" spans="1:4" x14ac:dyDescent="0.3">
      <c r="A27" s="8" t="s">
        <v>181</v>
      </c>
      <c r="B27" s="21">
        <f>Demanda!C18-Oferta!B12-Oferta!B19</f>
        <v>18.347249999999995</v>
      </c>
      <c r="C27" s="21">
        <f>Demanda!C18-Oferta!C12-Oferta!B19</f>
        <v>-13.752750000000006</v>
      </c>
      <c r="D27" s="21">
        <f>Demanda!C18-Oferta!D12-Oferta!B19</f>
        <v>-102.25275000000001</v>
      </c>
    </row>
    <row r="28" spans="1:4" x14ac:dyDescent="0.3">
      <c r="A28" s="8" t="s">
        <v>182</v>
      </c>
      <c r="B28" s="21">
        <f>Demanda!C19-Oferta!B12-Oferta!B19</f>
        <v>133.43174999999997</v>
      </c>
      <c r="C28" s="21">
        <f>Demanda!C19-Oferta!C12-Oferta!B19</f>
        <v>101.33174999999999</v>
      </c>
      <c r="D28" s="21">
        <f>Demanda!C19-Oferta!D12-Oferta!B19</f>
        <v>12.831749999999985</v>
      </c>
    </row>
    <row r="29" spans="1:4" x14ac:dyDescent="0.3">
      <c r="A29" s="8" t="s">
        <v>183</v>
      </c>
      <c r="B29" s="21">
        <f>Demanda!C20-Oferta!B12-Oferta!B19</f>
        <v>342.96600000000001</v>
      </c>
      <c r="C29" s="21">
        <f>Demanda!C20-Oferta!C12-Oferta!B19</f>
        <v>310.86599999999999</v>
      </c>
      <c r="D29" s="21">
        <f>Demanda!C20-Oferta!D12-Oferta!B19</f>
        <v>222.36599999999999</v>
      </c>
    </row>
    <row r="32" spans="1:4" ht="15.6" x14ac:dyDescent="0.3">
      <c r="A32" s="20" t="s">
        <v>186</v>
      </c>
    </row>
    <row r="33" spans="1:6" ht="28.8" x14ac:dyDescent="0.3">
      <c r="A33" s="5" t="s">
        <v>152</v>
      </c>
      <c r="B33" s="5" t="s">
        <v>187</v>
      </c>
      <c r="C33" s="5" t="s">
        <v>188</v>
      </c>
      <c r="D33" s="5" t="s">
        <v>189</v>
      </c>
      <c r="E33" s="5" t="s">
        <v>190</v>
      </c>
      <c r="F33" s="5" t="s">
        <v>191</v>
      </c>
    </row>
    <row r="34" spans="1:6" x14ac:dyDescent="0.3">
      <c r="A34" s="8" t="s">
        <v>120</v>
      </c>
      <c r="B34" s="11">
        <f>Demanda!D18</f>
        <v>9.9262499999999996</v>
      </c>
      <c r="C34" s="11">
        <f>Oferta!C7</f>
        <v>7.8000000000000007</v>
      </c>
      <c r="D34" s="11">
        <f>Oferta!B20</f>
        <v>24.384</v>
      </c>
      <c r="E34" s="17">
        <f>C34/B34</f>
        <v>0.78579523989421995</v>
      </c>
      <c r="F34" s="17">
        <f>(C34+D34)/B34</f>
        <v>3.2423120513789194</v>
      </c>
    </row>
    <row r="35" spans="1:6" x14ac:dyDescent="0.3">
      <c r="A35" s="8" t="s">
        <v>121</v>
      </c>
      <c r="B35" s="11">
        <f>Demanda!D19</f>
        <v>32.943149999999996</v>
      </c>
      <c r="C35" s="11">
        <f>Oferta!C7</f>
        <v>7.8000000000000007</v>
      </c>
      <c r="D35" s="11">
        <f>Oferta!B20</f>
        <v>24.384</v>
      </c>
      <c r="E35" s="17">
        <f>C35/B35</f>
        <v>0.23677152913428137</v>
      </c>
      <c r="F35" s="17">
        <f>(C35+D35)/B35</f>
        <v>0.97695575559714243</v>
      </c>
    </row>
    <row r="36" spans="1:6" x14ac:dyDescent="0.3">
      <c r="A36" s="8" t="s">
        <v>122</v>
      </c>
      <c r="B36" s="11">
        <f>Demanda!D20</f>
        <v>74.849999999999994</v>
      </c>
      <c r="C36" s="11">
        <f>Oferta!C7</f>
        <v>7.8000000000000007</v>
      </c>
      <c r="D36" s="11">
        <f>Oferta!B20</f>
        <v>24.384</v>
      </c>
      <c r="E36" s="17">
        <f>C36/B36</f>
        <v>0.10420841683366736</v>
      </c>
      <c r="F36" s="17">
        <f>(C36+D36)/B36</f>
        <v>0.42997995991983967</v>
      </c>
    </row>
    <row r="37" spans="1:6" x14ac:dyDescent="0.3">
      <c r="A37" s="10" t="s">
        <v>192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/>
  </sheetViews>
  <sheetFormatPr baseColWidth="10" defaultColWidth="8.88671875" defaultRowHeight="14.4" x14ac:dyDescent="0.3"/>
  <cols>
    <col min="1" max="1" width="56" customWidth="1"/>
    <col min="2" max="5" width="14" customWidth="1"/>
  </cols>
  <sheetData>
    <row r="1" spans="1:5" ht="18" x14ac:dyDescent="0.35">
      <c r="A1" s="1" t="s">
        <v>193</v>
      </c>
    </row>
    <row r="2" spans="1:5" x14ac:dyDescent="0.3">
      <c r="A2" s="2" t="s">
        <v>194</v>
      </c>
    </row>
    <row r="4" spans="1:5" x14ac:dyDescent="0.3">
      <c r="A4" s="6" t="s">
        <v>195</v>
      </c>
      <c r="B4" s="11">
        <f>Demanda!H14</f>
        <v>109.81049999999999</v>
      </c>
    </row>
    <row r="6" spans="1:5" x14ac:dyDescent="0.3">
      <c r="A6" s="5" t="s">
        <v>196</v>
      </c>
      <c r="B6" s="22">
        <v>1</v>
      </c>
      <c r="C6" s="22">
        <v>1.5</v>
      </c>
      <c r="D6" s="22">
        <v>2</v>
      </c>
      <c r="E6" s="22">
        <v>3</v>
      </c>
    </row>
    <row r="7" spans="1:5" x14ac:dyDescent="0.3">
      <c r="A7" s="23">
        <v>0.25</v>
      </c>
      <c r="B7" s="7">
        <f t="shared" ref="B7:E11" si="0">$B$4*$A7*B$6</f>
        <v>27.452624999999998</v>
      </c>
      <c r="C7" s="7">
        <f t="shared" si="0"/>
        <v>41.178937499999996</v>
      </c>
      <c r="D7" s="7">
        <f t="shared" si="0"/>
        <v>54.905249999999995</v>
      </c>
      <c r="E7" s="7">
        <f t="shared" si="0"/>
        <v>82.357874999999993</v>
      </c>
    </row>
    <row r="8" spans="1:5" x14ac:dyDescent="0.3">
      <c r="A8" s="23">
        <v>0.5</v>
      </c>
      <c r="B8" s="7">
        <f t="shared" si="0"/>
        <v>54.905249999999995</v>
      </c>
      <c r="C8" s="7">
        <f t="shared" si="0"/>
        <v>82.357874999999993</v>
      </c>
      <c r="D8" s="7">
        <f t="shared" si="0"/>
        <v>109.81049999999999</v>
      </c>
      <c r="E8" s="7">
        <f t="shared" si="0"/>
        <v>164.71574999999999</v>
      </c>
    </row>
    <row r="9" spans="1:5" x14ac:dyDescent="0.3">
      <c r="A9" s="23">
        <v>1</v>
      </c>
      <c r="B9" s="7">
        <f t="shared" si="0"/>
        <v>109.81049999999999</v>
      </c>
      <c r="C9" s="7">
        <f t="shared" si="0"/>
        <v>164.71574999999999</v>
      </c>
      <c r="D9" s="7">
        <f t="shared" si="0"/>
        <v>219.62099999999998</v>
      </c>
      <c r="E9" s="7">
        <f t="shared" si="0"/>
        <v>329.43149999999997</v>
      </c>
    </row>
    <row r="10" spans="1:5" x14ac:dyDescent="0.3">
      <c r="A10" s="23">
        <v>1.5</v>
      </c>
      <c r="B10" s="7">
        <f t="shared" si="0"/>
        <v>164.71574999999999</v>
      </c>
      <c r="C10" s="7">
        <f t="shared" si="0"/>
        <v>247.07362499999999</v>
      </c>
      <c r="D10" s="7">
        <f t="shared" si="0"/>
        <v>329.43149999999997</v>
      </c>
      <c r="E10" s="7">
        <f t="shared" si="0"/>
        <v>494.14724999999999</v>
      </c>
    </row>
    <row r="11" spans="1:5" x14ac:dyDescent="0.3">
      <c r="A11" s="23">
        <v>2</v>
      </c>
      <c r="B11" s="7">
        <f t="shared" si="0"/>
        <v>219.62099999999998</v>
      </c>
      <c r="C11" s="7">
        <f t="shared" si="0"/>
        <v>329.43149999999997</v>
      </c>
      <c r="D11" s="7">
        <f t="shared" si="0"/>
        <v>439.24199999999996</v>
      </c>
      <c r="E11" s="7">
        <f t="shared" si="0"/>
        <v>658.86299999999994</v>
      </c>
    </row>
    <row r="13" spans="1:5" x14ac:dyDescent="0.3">
      <c r="A13" s="10" t="s">
        <v>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3"/>
  <sheetViews>
    <sheetView workbookViewId="0"/>
  </sheetViews>
  <sheetFormatPr baseColWidth="10" defaultColWidth="8.88671875" defaultRowHeight="14.4" x14ac:dyDescent="0.3"/>
  <cols>
    <col min="1" max="1" width="56" customWidth="1"/>
    <col min="2" max="4" width="22" customWidth="1"/>
  </cols>
  <sheetData>
    <row r="1" spans="1:4" ht="18" x14ac:dyDescent="0.35">
      <c r="A1" s="1" t="s">
        <v>198</v>
      </c>
    </row>
    <row r="2" spans="1:4" x14ac:dyDescent="0.3">
      <c r="A2" s="2" t="s">
        <v>199</v>
      </c>
    </row>
    <row r="4" spans="1:4" x14ac:dyDescent="0.3">
      <c r="A4" s="6" t="s">
        <v>200</v>
      </c>
      <c r="B4" s="7">
        <f>SRI_LosRios!D5+SRI_LosRios!D6+SRI_LosRios!D7+SRI_LosRios!D8+SRI_LosRios!D9+SRI_LosRios!D10+SRI_LosRios!D11+SRI_LosRios!D12+SRI_LosRios!D13</f>
        <v>3691</v>
      </c>
    </row>
    <row r="5" spans="1:4" x14ac:dyDescent="0.3">
      <c r="A5" s="6" t="s">
        <v>201</v>
      </c>
      <c r="B5" s="24">
        <v>1.96</v>
      </c>
    </row>
    <row r="6" spans="1:4" x14ac:dyDescent="0.3">
      <c r="A6" s="6" t="s">
        <v>202</v>
      </c>
      <c r="B6" s="13">
        <v>0.05</v>
      </c>
    </row>
    <row r="7" spans="1:4" x14ac:dyDescent="0.3">
      <c r="A7" s="6" t="s">
        <v>203</v>
      </c>
      <c r="B7" s="24">
        <v>0.5</v>
      </c>
    </row>
    <row r="8" spans="1:4" x14ac:dyDescent="0.3">
      <c r="A8" s="8" t="s">
        <v>204</v>
      </c>
      <c r="B8" s="9">
        <f>ROUNDUP(B4*B5^2*B7*(1-B7)/(B6^2*(B4-1)+B5^2*B7*(1-B7)),0)</f>
        <v>349</v>
      </c>
    </row>
    <row r="9" spans="1:4" x14ac:dyDescent="0.3">
      <c r="A9" s="6" t="s">
        <v>205</v>
      </c>
      <c r="B9" s="15">
        <v>10</v>
      </c>
    </row>
    <row r="11" spans="1:4" x14ac:dyDescent="0.3">
      <c r="A11" s="5" t="s">
        <v>206</v>
      </c>
      <c r="B11" s="5" t="s">
        <v>207</v>
      </c>
      <c r="C11" s="5" t="s">
        <v>208</v>
      </c>
      <c r="D11" s="5" t="s">
        <v>209</v>
      </c>
    </row>
    <row r="12" spans="1:4" x14ac:dyDescent="0.3">
      <c r="A12" s="6" t="str">
        <f>SRI_LosRios!A5</f>
        <v>G1 Agricultura, ganadería y silvicultura</v>
      </c>
      <c r="B12" s="7">
        <f>SRI_LosRios!D5</f>
        <v>1397</v>
      </c>
      <c r="C12" s="11">
        <f t="shared" ref="C12:C20" si="0">$B$8*B12/$B$4</f>
        <v>132.09238688702249</v>
      </c>
      <c r="D12" s="7">
        <f t="shared" ref="D12:D20" si="1">MIN(B12,MAX($B$9,ROUND(C12,0)))</f>
        <v>132</v>
      </c>
    </row>
    <row r="13" spans="1:4" x14ac:dyDescent="0.3">
      <c r="A13" s="6" t="str">
        <f>SRI_LosRios!A6</f>
        <v>G2 Pesca y acuicultura</v>
      </c>
      <c r="B13" s="7">
        <f>SRI_LosRios!D6</f>
        <v>14</v>
      </c>
      <c r="C13" s="11">
        <f t="shared" si="0"/>
        <v>1.323760498509889</v>
      </c>
      <c r="D13" s="7">
        <f t="shared" si="1"/>
        <v>10</v>
      </c>
    </row>
    <row r="14" spans="1:4" x14ac:dyDescent="0.3">
      <c r="A14" s="6" t="str">
        <f>SRI_LosRios!A7</f>
        <v>G3 Alimentos y bebidas (agroindustria)</v>
      </c>
      <c r="B14" s="7">
        <f>SRI_LosRios!D7</f>
        <v>93</v>
      </c>
      <c r="C14" s="11">
        <f t="shared" si="0"/>
        <v>8.7935518829585479</v>
      </c>
      <c r="D14" s="7">
        <f t="shared" si="1"/>
        <v>10</v>
      </c>
    </row>
    <row r="15" spans="1:4" x14ac:dyDescent="0.3">
      <c r="A15" s="6" t="str">
        <f>SRI_LosRios!A8</f>
        <v>G4 Otras manufacturas</v>
      </c>
      <c r="B15" s="7">
        <f>SRI_LosRios!D8</f>
        <v>163</v>
      </c>
      <c r="C15" s="11">
        <f t="shared" si="0"/>
        <v>15.412354375507993</v>
      </c>
      <c r="D15" s="7">
        <f t="shared" si="1"/>
        <v>15</v>
      </c>
    </row>
    <row r="16" spans="1:4" x14ac:dyDescent="0.3">
      <c r="A16" s="6" t="str">
        <f>SRI_LosRios!A9</f>
        <v>G5 Energía, agua y saneamiento</v>
      </c>
      <c r="B16" s="7">
        <f>SRI_LosRios!D9</f>
        <v>97</v>
      </c>
      <c r="C16" s="11">
        <f t="shared" si="0"/>
        <v>9.1717691682470868</v>
      </c>
      <c r="D16" s="7">
        <f t="shared" si="1"/>
        <v>10</v>
      </c>
    </row>
    <row r="17" spans="1:4" x14ac:dyDescent="0.3">
      <c r="A17" s="6" t="str">
        <f>SRI_LosRios!A10</f>
        <v>G6 Transporte y almacenamiento</v>
      </c>
      <c r="B17" s="7">
        <f>SRI_LosRios!D10</f>
        <v>507</v>
      </c>
      <c r="C17" s="11">
        <f t="shared" si="0"/>
        <v>47.939040910322404</v>
      </c>
      <c r="D17" s="7">
        <f t="shared" si="1"/>
        <v>48</v>
      </c>
    </row>
    <row r="18" spans="1:4" x14ac:dyDescent="0.3">
      <c r="A18" s="6" t="str">
        <f>SRI_LosRios!A11</f>
        <v>G7 Comercio al por mayor</v>
      </c>
      <c r="B18" s="7">
        <f>SRI_LosRios!D11</f>
        <v>1067</v>
      </c>
      <c r="C18" s="11">
        <f t="shared" si="0"/>
        <v>100.88946085071797</v>
      </c>
      <c r="D18" s="7">
        <f t="shared" si="1"/>
        <v>101</v>
      </c>
    </row>
    <row r="19" spans="1:4" x14ac:dyDescent="0.3">
      <c r="A19" s="6" t="str">
        <f>SRI_LosRios!A12</f>
        <v>G8 Administración pública (GAD y entidades)</v>
      </c>
      <c r="B19" s="7">
        <f>SRI_LosRios!D12</f>
        <v>96</v>
      </c>
      <c r="C19" s="11">
        <f t="shared" si="0"/>
        <v>9.077214846924953</v>
      </c>
      <c r="D19" s="7">
        <f t="shared" si="1"/>
        <v>10</v>
      </c>
    </row>
    <row r="20" spans="1:4" x14ac:dyDescent="0.3">
      <c r="A20" s="6" t="str">
        <f>SRI_LosRios!A13</f>
        <v>G9 Proveedores tecnológicos (TIC, ingeniería, I+D)</v>
      </c>
      <c r="B20" s="7">
        <f>SRI_LosRios!D13</f>
        <v>257</v>
      </c>
      <c r="C20" s="11">
        <f t="shared" si="0"/>
        <v>24.300460579788677</v>
      </c>
      <c r="D20" s="7">
        <f t="shared" si="1"/>
        <v>24</v>
      </c>
    </row>
    <row r="21" spans="1:4" x14ac:dyDescent="0.3">
      <c r="A21" s="8" t="s">
        <v>37</v>
      </c>
      <c r="B21" s="9">
        <f>SUM(B12:B20)</f>
        <v>3691</v>
      </c>
      <c r="C21" s="18">
        <f>SUM(C12:C20)</f>
        <v>349</v>
      </c>
      <c r="D21" s="9">
        <f>SUM(D12:D20)</f>
        <v>360</v>
      </c>
    </row>
    <row r="23" spans="1:4" x14ac:dyDescent="0.3">
      <c r="A23" s="10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Léame</vt:lpstr>
      <vt:lpstr>SRI_LosRios</vt:lpstr>
      <vt:lpstr>INEC_LosRios</vt:lpstr>
      <vt:lpstr>SENESCYT_TIC</vt:lpstr>
      <vt:lpstr>Supuestos</vt:lpstr>
      <vt:lpstr>Demanda</vt:lpstr>
      <vt:lpstr>Oferta</vt:lpstr>
      <vt:lpstr>Brecha</vt:lpstr>
      <vt:lpstr>Sensibilidad</vt:lpstr>
      <vt:lpstr>Muestra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Gleiston C. Guerrero Ulloa</cp:lastModifiedBy>
  <dcterms:created xsi:type="dcterms:W3CDTF">2026-09-26T20:27:22Z</dcterms:created>
  <dcterms:modified xsi:type="dcterms:W3CDTF">2026-09-26T20:27:47Z</dcterms:modified>
</cp:coreProperties>
</file>