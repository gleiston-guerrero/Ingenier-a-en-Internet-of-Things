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Repositorios\Ingenier-a-en-Internet-of-Things\06_modelo_demanda\"/>
    </mc:Choice>
  </mc:AlternateContent>
  <xr:revisionPtr revIDLastSave="0" documentId="13_ncr:1_{F8F4649D-DF4C-40BA-909C-9B8268F76B9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Léame" sheetId="1" r:id="rId1"/>
    <sheet name="SRI_LosRios" sheetId="2" r:id="rId2"/>
    <sheet name="INEC_LosRios" sheetId="3" r:id="rId3"/>
    <sheet name="Supuestos" sheetId="4" r:id="rId4"/>
    <sheet name="Demanda" sheetId="5" r:id="rId5"/>
    <sheet name="Oferta" sheetId="6" r:id="rId6"/>
    <sheet name="Brecha" sheetId="7" r:id="rId7"/>
    <sheet name="Sensibilidad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6" l="1"/>
  <c r="B20" i="6" s="1"/>
  <c r="B16" i="6"/>
  <c r="B18" i="6" s="1"/>
  <c r="B7" i="6"/>
  <c r="B12" i="6" s="1"/>
  <c r="D6" i="6"/>
  <c r="D7" i="6" s="1"/>
  <c r="C6" i="6"/>
  <c r="C7" i="6" s="1"/>
  <c r="B6" i="6"/>
  <c r="B5" i="6"/>
  <c r="A24" i="5"/>
  <c r="A13" i="5"/>
  <c r="A32" i="5" s="1"/>
  <c r="C12" i="5"/>
  <c r="A12" i="5"/>
  <c r="A31" i="5" s="1"/>
  <c r="A11" i="5"/>
  <c r="A30" i="5" s="1"/>
  <c r="A10" i="5"/>
  <c r="A29" i="5" s="1"/>
  <c r="B9" i="5"/>
  <c r="A9" i="5"/>
  <c r="A28" i="5" s="1"/>
  <c r="B8" i="5"/>
  <c r="A8" i="5"/>
  <c r="A27" i="5" s="1"/>
  <c r="A7" i="5"/>
  <c r="A26" i="5" s="1"/>
  <c r="B6" i="5"/>
  <c r="A6" i="5"/>
  <c r="A25" i="5" s="1"/>
  <c r="B5" i="5"/>
  <c r="A5" i="5"/>
  <c r="C34" i="4"/>
  <c r="C5" i="6" s="1"/>
  <c r="B32" i="4"/>
  <c r="D34" i="4" s="1"/>
  <c r="D5" i="6" s="1"/>
  <c r="B5" i="4"/>
  <c r="E17" i="2"/>
  <c r="C17" i="2"/>
  <c r="B17" i="2"/>
  <c r="D16" i="2"/>
  <c r="D15" i="2"/>
  <c r="D14" i="2"/>
  <c r="D13" i="2"/>
  <c r="B13" i="5" s="1"/>
  <c r="D12" i="2"/>
  <c r="B12" i="5" s="1"/>
  <c r="D12" i="5" s="1"/>
  <c r="D11" i="2"/>
  <c r="B11" i="5" s="1"/>
  <c r="D10" i="2"/>
  <c r="B10" i="5" s="1"/>
  <c r="D9" i="2"/>
  <c r="D8" i="2"/>
  <c r="D7" i="2"/>
  <c r="B7" i="5" s="1"/>
  <c r="D6" i="2"/>
  <c r="D5" i="2"/>
  <c r="D12" i="6" l="1"/>
  <c r="D11" i="6"/>
  <c r="J12" i="5"/>
  <c r="I12" i="5"/>
  <c r="H12" i="5"/>
  <c r="B31" i="5" s="1"/>
  <c r="G12" i="5"/>
  <c r="F12" i="5"/>
  <c r="E12" i="5"/>
  <c r="C36" i="7"/>
  <c r="C35" i="7"/>
  <c r="C34" i="7"/>
  <c r="C12" i="6"/>
  <c r="C11" i="6"/>
  <c r="B11" i="6"/>
  <c r="D17" i="2"/>
  <c r="B6" i="4" s="1"/>
  <c r="B7" i="4" s="1"/>
  <c r="B8" i="4" s="1"/>
  <c r="D36" i="7"/>
  <c r="D34" i="7"/>
  <c r="D35" i="7"/>
  <c r="B19" i="6"/>
  <c r="B14" i="5"/>
  <c r="C5" i="5" l="1"/>
  <c r="D5" i="5" s="1"/>
  <c r="C11" i="5"/>
  <c r="D11" i="5" s="1"/>
  <c r="C13" i="5"/>
  <c r="D13" i="5" s="1"/>
  <c r="C7" i="5"/>
  <c r="D7" i="5" s="1"/>
  <c r="C9" i="5"/>
  <c r="D9" i="5" s="1"/>
  <c r="C8" i="5"/>
  <c r="D8" i="5" s="1"/>
  <c r="C6" i="5"/>
  <c r="D6" i="5" s="1"/>
  <c r="C10" i="5"/>
  <c r="D10" i="5" s="1"/>
  <c r="J10" i="5" l="1"/>
  <c r="I10" i="5"/>
  <c r="H10" i="5"/>
  <c r="B29" i="5" s="1"/>
  <c r="G10" i="5"/>
  <c r="F10" i="5"/>
  <c r="E10" i="5"/>
  <c r="J6" i="5"/>
  <c r="I6" i="5"/>
  <c r="H6" i="5"/>
  <c r="B25" i="5" s="1"/>
  <c r="G6" i="5"/>
  <c r="F6" i="5"/>
  <c r="E6" i="5"/>
  <c r="J8" i="5"/>
  <c r="I8" i="5"/>
  <c r="H8" i="5"/>
  <c r="B27" i="5" s="1"/>
  <c r="G8" i="5"/>
  <c r="F8" i="5"/>
  <c r="E8" i="5"/>
  <c r="J9" i="5"/>
  <c r="I9" i="5"/>
  <c r="H9" i="5"/>
  <c r="B28" i="5" s="1"/>
  <c r="G9" i="5"/>
  <c r="F9" i="5"/>
  <c r="E9" i="5"/>
  <c r="H7" i="5"/>
  <c r="B26" i="5" s="1"/>
  <c r="G7" i="5"/>
  <c r="F7" i="5"/>
  <c r="E7" i="5"/>
  <c r="J7" i="5"/>
  <c r="I7" i="5"/>
  <c r="J13" i="5"/>
  <c r="F13" i="5"/>
  <c r="E13" i="5"/>
  <c r="I13" i="5"/>
  <c r="H13" i="5"/>
  <c r="B32" i="5" s="1"/>
  <c r="G13" i="5"/>
  <c r="J11" i="5"/>
  <c r="I11" i="5"/>
  <c r="H11" i="5"/>
  <c r="B30" i="5" s="1"/>
  <c r="G11" i="5"/>
  <c r="F11" i="5"/>
  <c r="E11" i="5"/>
  <c r="F5" i="5"/>
  <c r="F14" i="5" s="1"/>
  <c r="C18" i="5" s="1"/>
  <c r="E5" i="5"/>
  <c r="D14" i="5"/>
  <c r="H5" i="5"/>
  <c r="G5" i="5"/>
  <c r="J5" i="5"/>
  <c r="I5" i="5"/>
  <c r="E14" i="5" l="1"/>
  <c r="B18" i="5" s="1"/>
  <c r="D7" i="7"/>
  <c r="C7" i="7"/>
  <c r="B7" i="7"/>
  <c r="D13" i="7"/>
  <c r="C13" i="7"/>
  <c r="B13" i="7"/>
  <c r="B27" i="7"/>
  <c r="C21" i="7"/>
  <c r="B21" i="7"/>
  <c r="D21" i="7"/>
  <c r="D18" i="5"/>
  <c r="B34" i="7" s="1"/>
  <c r="D27" i="7"/>
  <c r="C27" i="7"/>
  <c r="C28" i="5"/>
  <c r="C30" i="5"/>
  <c r="C27" i="5"/>
  <c r="C32" i="5"/>
  <c r="C25" i="5"/>
  <c r="I14" i="5"/>
  <c r="B20" i="5" s="1"/>
  <c r="J14" i="5"/>
  <c r="C20" i="5" s="1"/>
  <c r="G14" i="5"/>
  <c r="B19" i="5" s="1"/>
  <c r="B24" i="5"/>
  <c r="C26" i="5" s="1"/>
  <c r="H14" i="5"/>
  <c r="D23" i="7" l="1"/>
  <c r="C23" i="7"/>
  <c r="B23" i="7"/>
  <c r="D20" i="5"/>
  <c r="B36" i="7" s="1"/>
  <c r="D29" i="7"/>
  <c r="C29" i="7"/>
  <c r="B29" i="7"/>
  <c r="D8" i="7"/>
  <c r="C8" i="7"/>
  <c r="B8" i="7"/>
  <c r="C14" i="7"/>
  <c r="B14" i="7"/>
  <c r="D14" i="7"/>
  <c r="D15" i="7"/>
  <c r="C15" i="7"/>
  <c r="D9" i="7"/>
  <c r="C9" i="7"/>
  <c r="B9" i="7"/>
  <c r="B15" i="7"/>
  <c r="F34" i="7"/>
  <c r="E34" i="7"/>
  <c r="B4" i="8"/>
  <c r="C19" i="5"/>
  <c r="C24" i="5"/>
  <c r="C31" i="5"/>
  <c r="C29" i="5"/>
  <c r="E11" i="8" l="1"/>
  <c r="D11" i="8"/>
  <c r="C11" i="8"/>
  <c r="B11" i="8"/>
  <c r="E10" i="8"/>
  <c r="E9" i="8"/>
  <c r="D9" i="8"/>
  <c r="C9" i="8"/>
  <c r="B9" i="8"/>
  <c r="D10" i="8"/>
  <c r="C10" i="8"/>
  <c r="B10" i="8"/>
  <c r="E8" i="8"/>
  <c r="E7" i="8"/>
  <c r="D8" i="8"/>
  <c r="C8" i="8"/>
  <c r="B8" i="8"/>
  <c r="D7" i="8"/>
  <c r="C7" i="8"/>
  <c r="B7" i="8"/>
  <c r="E36" i="7"/>
  <c r="F36" i="7"/>
  <c r="D22" i="7"/>
  <c r="C22" i="7"/>
  <c r="B22" i="7"/>
  <c r="D19" i="5"/>
  <c r="B35" i="7" s="1"/>
  <c r="D28" i="7"/>
  <c r="C28" i="7"/>
  <c r="B28" i="7"/>
  <c r="F35" i="7" l="1"/>
  <c r="E35" i="7"/>
</calcChain>
</file>

<file path=xl/sharedStrings.xml><?xml version="1.0" encoding="utf-8"?>
<sst xmlns="http://schemas.openxmlformats.org/spreadsheetml/2006/main" count="232" uniqueCount="181">
  <si>
    <t>Modelo de demanda y oferta de profesionales IoT en Los Ríos</t>
  </si>
  <si>
    <t>Borrador de trabajo para el proyecto de carrera de Ingeniería en Internet de las Cosas (UTEQ). Consulta de datos: 26-IX-2026.</t>
  </si>
  <si>
    <t>Qué es</t>
  </si>
  <si>
    <t>Un ejercicio de dimensionamiento con tres escenarios. Cruza empresas formales de Los Ríos (SRI e INEC) con supuestos de adopción y contratación de perfiles IoT, y lo compara con la oferta de graduados TIC.</t>
  </si>
  <si>
    <t>Qué NO es</t>
  </si>
  <si>
    <t>No es una proyección estadística. Ninguna fuente oficial publica la adopción de IoT por sector en Ecuador; esos porcentajes son supuestos de trabajo. Deben sustituirse con la encuesta a empleadores antes de presentar el proyecto al CES.</t>
  </si>
  <si>
    <t>Código de color</t>
  </si>
  <si>
    <t>Celdas amarillas = supuestos que usted puede cambiar. Celdas blancas = datos observados o fórmulas. Todo el modelo se recalcula al editar una celda amarilla.</t>
  </si>
  <si>
    <t>Hojas</t>
  </si>
  <si>
    <t>SRI_LosRios y INEC_LosRios: datos observados. Supuestos: entradas. Demanda, Oferta, Brecha y Sensibilidad: cálculos.</t>
  </si>
  <si>
    <t>Horizonte</t>
  </si>
  <si>
    <t>Año base 2026. "4 años" = 2030 y "5 años" = 2031. Con ingreso en 2027 y 8 períodos, la primera promoción de la carrera se gradúa en 2031.</t>
  </si>
  <si>
    <t>Fuentes</t>
  </si>
  <si>
    <t>SRI: catastro RUC de Los Ríos (datos abiertos, actualizado el 1-IX-2026). INEC: Registro Estadístico de Empresas 2025, ENEMDU anual 2025, Censo 2022. SENESCYT: graduados TIC 2020 y 2021 tomados de la Política de Transformación Digital 2025-2030 (MINTEL). UTEQ: informe de rendición de cuentas 2024.</t>
  </si>
  <si>
    <t>Límites de los datos</t>
  </si>
  <si>
    <t>El catastro RUC no trae tamaño de empresa; se usa "sociedad o persona natural obligada a llevar contabilidad" como aproximación de empresa formal. No se obtuvo de la SENESCYT la serie de graduados TIC por provincia (el servidor de sus datos abiertos no respondió); la oferta se estima con proxies que se detallan en la hoja Oferta.</t>
  </si>
  <si>
    <t>Privacidad</t>
  </si>
  <si>
    <t>El catastro RUC incluye nombres de personas naturales. Este libro solo contiene conteos agregados.</t>
  </si>
  <si>
    <t>Contribuyentes activos de Los Ríos (SRI, catastro RUC)</t>
  </si>
  <si>
    <t>Fuente: SRI, datos abiertos, "Registro Único de Contribuyentes / Los Ríos", actualizado el 1-IX-2026. Un RUC se cuenta una vez, con la CIIU de su establecimiento matriz.</t>
  </si>
  <si>
    <t>Grupo de actividad (CIIU Rev. 4.1)</t>
  </si>
  <si>
    <t>Sociedades activas</t>
  </si>
  <si>
    <t>Personas naturales obligadas a contabilidad</t>
  </si>
  <si>
    <t>Empresas formales</t>
  </si>
  <si>
    <t>Total RUC activos (incluye no obligados)</t>
  </si>
  <si>
    <t>G1 Agricultura, ganadería y silvicultura</t>
  </si>
  <si>
    <t>G2 Pesca y acuicultura</t>
  </si>
  <si>
    <t>G3 Alimentos y bebidas (agroindustria)</t>
  </si>
  <si>
    <t>G4 Otras manufacturas</t>
  </si>
  <si>
    <t>G5 Energía, agua y saneamiento</t>
  </si>
  <si>
    <t>G6 Transporte y almacenamiento</t>
  </si>
  <si>
    <t>G7 Comercio al por mayor</t>
  </si>
  <si>
    <t>G8 Administración pública (GAD y entidades)</t>
  </si>
  <si>
    <t>G9 Proveedores tecnológicos (TIC, ingeniería, I+D)</t>
  </si>
  <si>
    <t>G10 Construcción</t>
  </si>
  <si>
    <t>G11 Salud</t>
  </si>
  <si>
    <t>Otros sectores</t>
  </si>
  <si>
    <t>Total</t>
  </si>
  <si>
    <t>Empresas formales de las secciones O, P, Q y U (excluidas del universo "actividades productivas" del INEC)</t>
  </si>
  <si>
    <t>Administración pública (O), Enseñanza (P), Salud (Q) y otras (U)</t>
  </si>
  <si>
    <t>O = 96, P = 119, Q = 201, U = 0 (cálculo propio sobre el catastro)</t>
  </si>
  <si>
    <t>Empresas formales de los grupos objetivo por cantón</t>
  </si>
  <si>
    <t>Cantón</t>
  </si>
  <si>
    <t>Empresas formales en grupos G1 a G9</t>
  </si>
  <si>
    <t>Quevedo</t>
  </si>
  <si>
    <t>Babahoyo</t>
  </si>
  <si>
    <t>Ventanas</t>
  </si>
  <si>
    <t>Buena Fe</t>
  </si>
  <si>
    <t>Vinces</t>
  </si>
  <si>
    <t>Valencia</t>
  </si>
  <si>
    <t>Pueblo Viejo</t>
  </si>
  <si>
    <t>Mocache</t>
  </si>
  <si>
    <t>Baba</t>
  </si>
  <si>
    <t>Montalvo</t>
  </si>
  <si>
    <t>Quinsaloma</t>
  </si>
  <si>
    <t>Urdaneta</t>
  </si>
  <si>
    <t>Palenque</t>
  </si>
  <si>
    <t>Altas de sociedades por año de inicio de actividades (RUC hoy activos)</t>
  </si>
  <si>
    <t>Año</t>
  </si>
  <si>
    <t>Sociedades activas que iniciaron ese año</t>
  </si>
  <si>
    <t>2026 (parcial)</t>
  </si>
  <si>
    <t>Nota: incluye solo RUC que siguen activos, por lo que los años antiguos están subestimados.</t>
  </si>
  <si>
    <t>Indicadores del INEC para Los Ríos</t>
  </si>
  <si>
    <t>Fuentes: REEM 2025, ENEMDU anual 2025, Censo de Población 2022.</t>
  </si>
  <si>
    <t>Indicador</t>
  </si>
  <si>
    <t>Los Ríos</t>
  </si>
  <si>
    <t>Nacional</t>
  </si>
  <si>
    <t>Fuente</t>
  </si>
  <si>
    <t>Empresas del universo REEM, 2025</t>
  </si>
  <si>
    <t>REEM 2025, cuadro 1.1.8</t>
  </si>
  <si>
    <t>Empresas con actividades productivas (ventas y empleo IESS), 2025</t>
  </si>
  <si>
    <t>REEM 2025, cuadro 2.1.7</t>
  </si>
  <si>
    <t>Empleo registrado equivalente (IESS), 2025</t>
  </si>
  <si>
    <t>REEM 2025, cuadro 1.3.18</t>
  </si>
  <si>
    <t>Empleo adecuado o pleno, 2025 (%)</t>
  </si>
  <si>
    <t>ENEMDU anual 2025, tabla 5 y sección 1.4.1</t>
  </si>
  <si>
    <t>Subempleo, 2025 (%)</t>
  </si>
  <si>
    <t>ENEMDU anual 2025, tabla 6</t>
  </si>
  <si>
    <t>Desempleo, 2025 (%)</t>
  </si>
  <si>
    <t>ENEMDU anual 2025, tabla 3 y sección 1.1</t>
  </si>
  <si>
    <t>Población, Censo 2022</t>
  </si>
  <si>
    <t>INEC, Censo 2022 (Los Ríos, cuarta provincia más poblada)</t>
  </si>
  <si>
    <t>Supuestos del modelo (celdas amarillas: editables)</t>
  </si>
  <si>
    <t>Sin fuente oficial. Son valores de trabajo para dimensionar; sustitúyalos con los resultados de la encuesta a empleadores.</t>
  </si>
  <si>
    <t>1. Factor de empresas operativas</t>
  </si>
  <si>
    <t>Empresas INEC con ventas y empleo IESS (Los Ríos, 2025)</t>
  </si>
  <si>
    <t>Empresas formales SRI sin secciones O, P, Q y U</t>
  </si>
  <si>
    <t>Factor operativo calculado (INEC / SRI)</t>
  </si>
  <si>
    <t>Aproximado: las definiciones de INEC y SRI no coinciden exactamente.</t>
  </si>
  <si>
    <t>Factor operativo que usa el modelo (por defecto, el calculado, redondeado)</t>
  </si>
  <si>
    <t>Factor operativo del sector público (los GAD operan)</t>
  </si>
  <si>
    <t>2. Adopción: % de empresas operativas que contratan al menos un perfil IoT</t>
  </si>
  <si>
    <t>Grupo</t>
  </si>
  <si>
    <t>Conservador 2030</t>
  </si>
  <si>
    <t>Conservador 2031</t>
  </si>
  <si>
    <t>Base 2030</t>
  </si>
  <si>
    <t>Base 2031</t>
  </si>
  <si>
    <t>Optimista 2030</t>
  </si>
  <si>
    <t>Optimista 2031</t>
  </si>
  <si>
    <t>Los porcentajes de la hoja de adopción son supuestos del equipo, sin fuente oficial.</t>
  </si>
  <si>
    <t>3. Profesionales IoT por empresa que adopta</t>
  </si>
  <si>
    <t>Conservador</t>
  </si>
  <si>
    <t>Base</t>
  </si>
  <si>
    <t>Optimista</t>
  </si>
  <si>
    <t>Profesionales por empresa adoptante</t>
  </si>
  <si>
    <t>Profesionales IoT que ya trabajan en las empresas en 2026</t>
  </si>
  <si>
    <t>4. Oferta de graduados TIC en Los Ríos</t>
  </si>
  <si>
    <t>Graduados TIC en el país, 2021 (SENESCYT, vía MINTEL)</t>
  </si>
  <si>
    <t>Graduados TIC en el país, 2020 (SENESCYT, vía MINTEL)</t>
  </si>
  <si>
    <t>Población de Los Ríos sobre la nacional (proxy máximo)</t>
  </si>
  <si>
    <t>Población nacional del Censo 2022 tomada como 16.938.986; verificar</t>
  </si>
  <si>
    <t>Oferta baja</t>
  </si>
  <si>
    <t>Oferta base</t>
  </si>
  <si>
    <t>Oferta alta</t>
  </si>
  <si>
    <t>Graduados TIC por año que salen de IES de Los Ríos</t>
  </si>
  <si>
    <t>Baja: máximo identificado en las carreras TIC de la UTEQ en la cohorte 2018-2019 (45 a 69 graduados). Base: 2,5 % del total nacional. Alta: participación de la población de Los Ríos (5,3 %).</t>
  </si>
  <si>
    <t>% de esos graduados con competencias útiles para IoT</t>
  </si>
  <si>
    <t>5. La carrera propuesta</t>
  </si>
  <si>
    <t>Estudiantes por cohorte</t>
  </si>
  <si>
    <t>Tasa de titulación (UTEQ, cohorte 2018-2019)</t>
  </si>
  <si>
    <t>Año del primer ingreso</t>
  </si>
  <si>
    <t>Duración de la carrera en años</t>
  </si>
  <si>
    <t>Demanda estimada de profesionales IoT en Los Ríos</t>
  </si>
  <si>
    <t>Puestos = empresas formales × factor operativo × % que adopta × profesionales por empresa. Es un stock acumulado al año indicado.</t>
  </si>
  <si>
    <t>Empresas formales (SRI)</t>
  </si>
  <si>
    <t>Factor operativo</t>
  </si>
  <si>
    <t>Empresas operativas</t>
  </si>
  <si>
    <t>Adoptan Cons. 2030</t>
  </si>
  <si>
    <t>Adoptan Cons. 2031</t>
  </si>
  <si>
    <t>Adoptan Base 2030</t>
  </si>
  <si>
    <t>Adoptan Base 2031</t>
  </si>
  <si>
    <t>Adoptan Opt. 2030</t>
  </si>
  <si>
    <t>Adoptan Opt. 2031</t>
  </si>
  <si>
    <t>Total empresas que adoptan</t>
  </si>
  <si>
    <t>Puestos de perfil IoT (stock acumulado)</t>
  </si>
  <si>
    <t>Escenario</t>
  </si>
  <si>
    <t>A 4 años (2030)</t>
  </si>
  <si>
    <t>A 5 años (2031)</t>
  </si>
  <si>
    <t>Promedio anual nuevo 2027-2031</t>
  </si>
  <si>
    <t>Por grupo, escenario base 2031 (puestos)</t>
  </si>
  <si>
    <t>Puestos base 2031</t>
  </si>
  <si>
    <t>% del total</t>
  </si>
  <si>
    <t>Oferta de profesionales con perfil IoT en Los Ríos</t>
  </si>
  <si>
    <t>Sin la carrera: graduados TIC de IES de Los Ríos con competencias IoT. Con la carrera: se suma su promoción desde el primer año de graduación.</t>
  </si>
  <si>
    <t>Concepto</t>
  </si>
  <si>
    <t>Graduados TIC por año en IES de Los Ríos</t>
  </si>
  <si>
    <t>% con competencias útiles para IoT</t>
  </si>
  <si>
    <t>Graduados con perfil IoT por año (sin la carrera)</t>
  </si>
  <si>
    <t>Acumulado de graduados con perfil IoT sin la carrera</t>
  </si>
  <si>
    <t>Período</t>
  </si>
  <si>
    <t>2027-2030 (4 años)</t>
  </si>
  <si>
    <t>2027-2031 (5 años)</t>
  </si>
  <si>
    <t>Graduados de la carrera propuesta</t>
  </si>
  <si>
    <t>Valor</t>
  </si>
  <si>
    <t>Primer año de graduación</t>
  </si>
  <si>
    <t>Graduados por promoción</t>
  </si>
  <si>
    <t>Graduados acumulados hasta 2030</t>
  </si>
  <si>
    <t>Graduados acumulados hasta 2031</t>
  </si>
  <si>
    <t>Graduados por año desde el segundo año de graduación</t>
  </si>
  <si>
    <t>Brecha entre demanda y oferta de perfiles IoT en Los Ríos</t>
  </si>
  <si>
    <t>Brecha = puestos demandados − graduados con perfil IoT disponibles. Positiva: faltan profesionales.</t>
  </si>
  <si>
    <t>Horizonte A 4 años (2030)</t>
  </si>
  <si>
    <t>Sin la carrera</t>
  </si>
  <si>
    <t>Demanda \ Oferta</t>
  </si>
  <si>
    <t>Demanda conservador</t>
  </si>
  <si>
    <t>Demanda base</t>
  </si>
  <si>
    <t>Demanda optimista</t>
  </si>
  <si>
    <t>Con la carrera</t>
  </si>
  <si>
    <t>Horizonte A 5 años (2031)</t>
  </si>
  <si>
    <t>Flujo anual en régimen (desde 2032, con la carrera funcionando)</t>
  </si>
  <si>
    <t>Puestos nuevos por año</t>
  </si>
  <si>
    <t>Graduados IoT por año sin la carrera (oferta base)</t>
  </si>
  <si>
    <t>Graduados por año de la carrera</t>
  </si>
  <si>
    <t>Cobertura sin la carrera</t>
  </si>
  <si>
    <t>Cobertura con la carrera</t>
  </si>
  <si>
    <t>Cobertura mayor a 100 %: la oferta supera los puestos nuevos, lo que sería sobreoferta.</t>
  </si>
  <si>
    <t>Sensibilidad de la demanda a 5 años (2031)</t>
  </si>
  <si>
    <t>Puestos IoT si la adopción base se multiplica por un factor y cambia el número de profesionales por empresa adoptante.</t>
  </si>
  <si>
    <t>Empresas que adoptan en 2031, escenario base</t>
  </si>
  <si>
    <t>Multiplicador de adopción \ profesionales por empresa</t>
  </si>
  <si>
    <t>Lectura: la fila 1,00x y la columna 1,5 reproducen el escenario base. Compare con los graduados por año de la hoja Brecha.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</si>
</sst>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"/>
    <numFmt numFmtId="165" formatCode="0.0%"/>
    <numFmt numFmtId="166" formatCode="0.0"/>
    <numFmt numFmtId="167" formatCode="#,##0;[Red]\-#,##0"/>
    <numFmt numFmtId="168" formatCode="0.00&quot;x&quot;"/>
  </numFmts>
  <fonts count="7" x14ac:knownFonts="1">
    <font>
      <sz val="11"/>
      <color theme="1"/>
      <name val="Calibri"/>
      <family val="2"/>
      <scheme val="minor"/>
    </font>
    <font>
      <b/>
      <sz val="14"/>
      <color rgb="FF1F4E79"/>
      <name val="Calibri"/>
    </font>
    <font>
      <i/>
      <sz val="10"/>
      <name val="Calibri"/>
    </font>
    <font>
      <b/>
      <sz val="11"/>
      <name val="Calibri"/>
    </font>
    <font>
      <b/>
      <sz val="11"/>
      <color rgb="FFFFFFFF"/>
      <name val="Calibri"/>
    </font>
    <font>
      <i/>
      <sz val="9"/>
      <name val="Calibri"/>
    </font>
    <font>
      <b/>
      <sz val="12"/>
      <color rgb="FF1F4E79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vertical="top" wrapText="1"/>
    </xf>
    <xf numFmtId="0" fontId="4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3" fontId="0" fillId="0" borderId="1" xfId="0" applyNumberFormat="1" applyBorder="1"/>
    <xf numFmtId="0" fontId="3" fillId="0" borderId="1" xfId="0" applyFont="1" applyBorder="1"/>
    <xf numFmtId="3" fontId="3" fillId="0" borderId="1" xfId="0" applyNumberFormat="1" applyFont="1" applyBorder="1"/>
    <xf numFmtId="0" fontId="5" fillId="0" borderId="0" xfId="0" applyFont="1"/>
    <xf numFmtId="164" fontId="0" fillId="0" borderId="1" xfId="0" applyNumberFormat="1" applyBorder="1"/>
    <xf numFmtId="165" fontId="0" fillId="0" borderId="1" xfId="0" applyNumberFormat="1" applyBorder="1"/>
    <xf numFmtId="165" fontId="0" fillId="3" borderId="1" xfId="0" applyNumberFormat="1" applyFill="1" applyBorder="1"/>
    <xf numFmtId="166" fontId="0" fillId="3" borderId="1" xfId="0" applyNumberFormat="1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0" borderId="1" xfId="0" applyNumberFormat="1" applyBorder="1"/>
    <xf numFmtId="164" fontId="3" fillId="0" borderId="1" xfId="0" applyNumberFormat="1" applyFont="1" applyBorder="1"/>
    <xf numFmtId="1" fontId="0" fillId="0" borderId="1" xfId="0" applyNumberFormat="1" applyBorder="1"/>
    <xf numFmtId="0" fontId="6" fillId="0" borderId="0" xfId="0" applyFont="1"/>
    <xf numFmtId="167" fontId="0" fillId="0" borderId="1" xfId="0" applyNumberFormat="1" applyBorder="1"/>
    <xf numFmtId="166" fontId="4" fillId="2" borderId="1" xfId="0" applyNumberFormat="1" applyFont="1" applyFill="1" applyBorder="1" applyAlignment="1">
      <alignment horizontal="center" vertical="center" wrapText="1"/>
    </xf>
    <xf numFmtId="168" fontId="0" fillId="3" borderId="1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t>Puestos nuevos por año y graduados IoT por año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Brecha!$B$33</c:f>
              <c:strCache>
                <c:ptCount val="1"/>
                <c:pt idx="0">
                  <c:v>Puestos nuevos por año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Brecha!$A$34:$A$36</c:f>
              <c:strCache>
                <c:ptCount val="3"/>
                <c:pt idx="0">
                  <c:v>Conservador</c:v>
                </c:pt>
                <c:pt idx="1">
                  <c:v>Base</c:v>
                </c:pt>
                <c:pt idx="2">
                  <c:v>Optimista</c:v>
                </c:pt>
              </c:strCache>
            </c:strRef>
          </c:cat>
          <c:val>
            <c:numRef>
              <c:f>Brecha!$B$34:$B$36</c:f>
              <c:numCache>
                <c:formatCode>#,##0.0</c:formatCode>
                <c:ptCount val="3"/>
                <c:pt idx="0">
                  <c:v>9.9262499999999996</c:v>
                </c:pt>
                <c:pt idx="1">
                  <c:v>32.943149999999996</c:v>
                </c:pt>
                <c:pt idx="2">
                  <c:v>74.849999999999994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09-4FBB-A061-5F090520D062}"/>
            </c:ext>
          </c:extLst>
        </c:ser>
        <c:ser>
          <c:idx val="1"/>
          <c:order val="1"/>
          <c:tx>
            <c:strRef>
              <c:f>Brecha!$C$33</c:f>
              <c:strCache>
                <c:ptCount val="1"/>
                <c:pt idx="0">
                  <c:v>Graduados IoT por año sin la carrera (oferta base)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Brecha!$A$34:$A$36</c:f>
              <c:strCache>
                <c:ptCount val="3"/>
                <c:pt idx="0">
                  <c:v>Conservador</c:v>
                </c:pt>
                <c:pt idx="1">
                  <c:v>Base</c:v>
                </c:pt>
                <c:pt idx="2">
                  <c:v>Optimista</c:v>
                </c:pt>
              </c:strCache>
            </c:strRef>
          </c:cat>
          <c:val>
            <c:numRef>
              <c:f>Brecha!$C$34:$C$36</c:f>
              <c:numCache>
                <c:formatCode>#,##0.0</c:formatCode>
                <c:ptCount val="3"/>
                <c:pt idx="0">
                  <c:v>9.35</c:v>
                </c:pt>
                <c:pt idx="1">
                  <c:v>9.35</c:v>
                </c:pt>
                <c:pt idx="2">
                  <c:v>9.35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C09-4FBB-A061-5F090520D062}"/>
            </c:ext>
          </c:extLst>
        </c:ser>
        <c:ser>
          <c:idx val="2"/>
          <c:order val="2"/>
          <c:tx>
            <c:strRef>
              <c:f>Brecha!$D$33</c:f>
              <c:strCache>
                <c:ptCount val="1"/>
                <c:pt idx="0">
                  <c:v>Graduados por año de la carrera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Brecha!$A$34:$A$36</c:f>
              <c:strCache>
                <c:ptCount val="3"/>
                <c:pt idx="0">
                  <c:v>Conservador</c:v>
                </c:pt>
                <c:pt idx="1">
                  <c:v>Base</c:v>
                </c:pt>
                <c:pt idx="2">
                  <c:v>Optimista</c:v>
                </c:pt>
              </c:strCache>
            </c:strRef>
          </c:cat>
          <c:val>
            <c:numRef>
              <c:f>Brecha!$D$34:$D$36</c:f>
              <c:numCache>
                <c:formatCode>#,##0.0</c:formatCode>
                <c:ptCount val="3"/>
                <c:pt idx="0">
                  <c:v>24.384</c:v>
                </c:pt>
                <c:pt idx="1">
                  <c:v>24.384</c:v>
                </c:pt>
                <c:pt idx="2">
                  <c:v>24.384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C09-4FBB-A061-5F090520D0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Personas por año</a:t>
                </a:r>
              </a:p>
            </c:rich>
          </c:tx>
          <c:overlay val="1"/>
        </c:title>
        <c:numFmt formatCode="#,##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"/>
  <sheetViews>
    <sheetView tabSelected="1" workbookViewId="0"/>
  </sheetViews>
  <sheetFormatPr baseColWidth="10" defaultColWidth="8.88671875" defaultRowHeight="14.4" x14ac:dyDescent="0.3"/>
  <cols>
    <col min="1" max="1" width="22" customWidth="1"/>
    <col min="2" max="2" width="120" customWidth="1"/>
  </cols>
  <sheetData>
    <row r="1" spans="1:2" ht="18" x14ac:dyDescent="0.35">
      <c r="A1" s="1" t="s">
        <v>0</v>
      </c>
    </row>
    <row r="2" spans="1:2" x14ac:dyDescent="0.3">
      <c r="A2" s="2" t="s">
        <v>1</v>
      </c>
    </row>
    <row r="4" spans="1:2" ht="61.95" customHeight="1" x14ac:dyDescent="0.3">
      <c r="A4" s="3" t="s">
        <v>2</v>
      </c>
      <c r="B4" s="4" t="s">
        <v>3</v>
      </c>
    </row>
    <row r="5" spans="1:2" ht="61.95" customHeight="1" x14ac:dyDescent="0.3">
      <c r="A5" s="3" t="s">
        <v>4</v>
      </c>
      <c r="B5" s="4" t="s">
        <v>5</v>
      </c>
    </row>
    <row r="6" spans="1:2" ht="61.95" customHeight="1" x14ac:dyDescent="0.3">
      <c r="A6" s="3" t="s">
        <v>6</v>
      </c>
      <c r="B6" s="4" t="s">
        <v>7</v>
      </c>
    </row>
    <row r="7" spans="1:2" ht="61.95" customHeight="1" x14ac:dyDescent="0.3">
      <c r="A7" s="3" t="s">
        <v>8</v>
      </c>
      <c r="B7" s="4" t="s">
        <v>9</v>
      </c>
    </row>
    <row r="8" spans="1:2" ht="61.95" customHeight="1" x14ac:dyDescent="0.3">
      <c r="A8" s="3" t="s">
        <v>10</v>
      </c>
      <c r="B8" s="4" t="s">
        <v>11</v>
      </c>
    </row>
    <row r="9" spans="1:2" ht="61.95" customHeight="1" x14ac:dyDescent="0.3">
      <c r="A9" s="3" t="s">
        <v>12</v>
      </c>
      <c r="B9" s="4" t="s">
        <v>13</v>
      </c>
    </row>
    <row r="10" spans="1:2" ht="61.95" customHeight="1" x14ac:dyDescent="0.3">
      <c r="A10" s="3" t="s">
        <v>14</v>
      </c>
      <c r="B10" s="4" t="s">
        <v>15</v>
      </c>
    </row>
    <row r="11" spans="1:2" ht="61.95" customHeight="1" x14ac:dyDescent="0.3">
      <c r="A11" s="3" t="s">
        <v>16</v>
      </c>
      <c r="B11" s="4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3"/>
  <sheetViews>
    <sheetView workbookViewId="0"/>
  </sheetViews>
  <sheetFormatPr baseColWidth="10" defaultColWidth="8.88671875" defaultRowHeight="14.4" x14ac:dyDescent="0.3"/>
  <cols>
    <col min="1" max="1" width="62" customWidth="1"/>
    <col min="2" max="2" width="20" customWidth="1"/>
    <col min="3" max="3" width="26" customWidth="1"/>
    <col min="4" max="4" width="20" customWidth="1"/>
    <col min="5" max="5" width="26" customWidth="1"/>
  </cols>
  <sheetData>
    <row r="1" spans="1:5" ht="18" x14ac:dyDescent="0.35">
      <c r="A1" s="1" t="s">
        <v>18</v>
      </c>
    </row>
    <row r="2" spans="1:5" x14ac:dyDescent="0.3">
      <c r="A2" s="2" t="s">
        <v>19</v>
      </c>
    </row>
    <row r="4" spans="1:5" ht="28.8" x14ac:dyDescent="0.3">
      <c r="A4" s="5" t="s">
        <v>20</v>
      </c>
      <c r="B4" s="5" t="s">
        <v>21</v>
      </c>
      <c r="C4" s="5" t="s">
        <v>22</v>
      </c>
      <c r="D4" s="5" t="s">
        <v>23</v>
      </c>
      <c r="E4" s="5" t="s">
        <v>24</v>
      </c>
    </row>
    <row r="5" spans="1:5" x14ac:dyDescent="0.3">
      <c r="A5" s="6" t="s">
        <v>25</v>
      </c>
      <c r="B5" s="7">
        <v>851</v>
      </c>
      <c r="C5" s="7">
        <v>546</v>
      </c>
      <c r="D5" s="7">
        <f t="shared" ref="D5:D16" si="0">B5+C5</f>
        <v>1397</v>
      </c>
      <c r="E5" s="7">
        <v>23498</v>
      </c>
    </row>
    <row r="6" spans="1:5" x14ac:dyDescent="0.3">
      <c r="A6" s="6" t="s">
        <v>26</v>
      </c>
      <c r="B6" s="7">
        <v>13</v>
      </c>
      <c r="C6" s="7">
        <v>1</v>
      </c>
      <c r="D6" s="7">
        <f t="shared" si="0"/>
        <v>14</v>
      </c>
      <c r="E6" s="7">
        <v>63</v>
      </c>
    </row>
    <row r="7" spans="1:5" x14ac:dyDescent="0.3">
      <c r="A7" s="6" t="s">
        <v>27</v>
      </c>
      <c r="B7" s="7">
        <v>76</v>
      </c>
      <c r="C7" s="7">
        <v>17</v>
      </c>
      <c r="D7" s="7">
        <f t="shared" si="0"/>
        <v>93</v>
      </c>
      <c r="E7" s="7">
        <v>1709</v>
      </c>
    </row>
    <row r="8" spans="1:5" x14ac:dyDescent="0.3">
      <c r="A8" s="6" t="s">
        <v>28</v>
      </c>
      <c r="B8" s="7">
        <v>133</v>
      </c>
      <c r="C8" s="7">
        <v>30</v>
      </c>
      <c r="D8" s="7">
        <f t="shared" si="0"/>
        <v>163</v>
      </c>
      <c r="E8" s="7">
        <v>4004</v>
      </c>
    </row>
    <row r="9" spans="1:5" x14ac:dyDescent="0.3">
      <c r="A9" s="6" t="s">
        <v>29</v>
      </c>
      <c r="B9" s="7">
        <v>97</v>
      </c>
      <c r="C9" s="7">
        <v>0</v>
      </c>
      <c r="D9" s="7">
        <f t="shared" si="0"/>
        <v>97</v>
      </c>
      <c r="E9" s="7">
        <v>160</v>
      </c>
    </row>
    <row r="10" spans="1:5" x14ac:dyDescent="0.3">
      <c r="A10" s="6" t="s">
        <v>30</v>
      </c>
      <c r="B10" s="7">
        <v>461</v>
      </c>
      <c r="C10" s="7">
        <v>46</v>
      </c>
      <c r="D10" s="7">
        <f t="shared" si="0"/>
        <v>507</v>
      </c>
      <c r="E10" s="7">
        <v>5907</v>
      </c>
    </row>
    <row r="11" spans="1:5" x14ac:dyDescent="0.3">
      <c r="A11" s="6" t="s">
        <v>31</v>
      </c>
      <c r="B11" s="7">
        <v>661</v>
      </c>
      <c r="C11" s="7">
        <v>406</v>
      </c>
      <c r="D11" s="7">
        <f t="shared" si="0"/>
        <v>1067</v>
      </c>
      <c r="E11" s="7">
        <v>11779</v>
      </c>
    </row>
    <row r="12" spans="1:5" x14ac:dyDescent="0.3">
      <c r="A12" s="6" t="s">
        <v>32</v>
      </c>
      <c r="B12" s="7">
        <v>96</v>
      </c>
      <c r="C12" s="7">
        <v>0</v>
      </c>
      <c r="D12" s="7">
        <f t="shared" si="0"/>
        <v>96</v>
      </c>
      <c r="E12" s="7">
        <v>101</v>
      </c>
    </row>
    <row r="13" spans="1:5" x14ac:dyDescent="0.3">
      <c r="A13" s="6" t="s">
        <v>33</v>
      </c>
      <c r="B13" s="7">
        <v>229</v>
      </c>
      <c r="C13" s="7">
        <v>28</v>
      </c>
      <c r="D13" s="7">
        <f t="shared" si="0"/>
        <v>257</v>
      </c>
      <c r="E13" s="7">
        <v>1025</v>
      </c>
    </row>
    <row r="14" spans="1:5" x14ac:dyDescent="0.3">
      <c r="A14" s="6" t="s">
        <v>34</v>
      </c>
      <c r="B14" s="7">
        <v>570</v>
      </c>
      <c r="C14" s="7">
        <v>17</v>
      </c>
      <c r="D14" s="7">
        <f t="shared" si="0"/>
        <v>587</v>
      </c>
      <c r="E14" s="7">
        <v>2043</v>
      </c>
    </row>
    <row r="15" spans="1:5" x14ac:dyDescent="0.3">
      <c r="A15" s="6" t="s">
        <v>35</v>
      </c>
      <c r="B15" s="7">
        <v>186</v>
      </c>
      <c r="C15" s="7">
        <v>15</v>
      </c>
      <c r="D15" s="7">
        <f t="shared" si="0"/>
        <v>201</v>
      </c>
      <c r="E15" s="7">
        <v>2178</v>
      </c>
    </row>
    <row r="16" spans="1:5" x14ac:dyDescent="0.3">
      <c r="A16" s="6" t="s">
        <v>36</v>
      </c>
      <c r="B16" s="7">
        <v>1959</v>
      </c>
      <c r="C16" s="7">
        <v>519</v>
      </c>
      <c r="D16" s="7">
        <f t="shared" si="0"/>
        <v>2478</v>
      </c>
      <c r="E16" s="7">
        <v>59697</v>
      </c>
    </row>
    <row r="17" spans="1:5" x14ac:dyDescent="0.3">
      <c r="A17" s="8" t="s">
        <v>37</v>
      </c>
      <c r="B17" s="9">
        <f>SUM(B5:B16)</f>
        <v>5332</v>
      </c>
      <c r="C17" s="9">
        <f>SUM(C5:C16)</f>
        <v>1625</v>
      </c>
      <c r="D17" s="9">
        <f>SUM(D5:D16)</f>
        <v>6957</v>
      </c>
      <c r="E17" s="9">
        <f>SUM(E5:E16)</f>
        <v>112164</v>
      </c>
    </row>
    <row r="19" spans="1:5" x14ac:dyDescent="0.3">
      <c r="A19" s="3" t="s">
        <v>38</v>
      </c>
    </row>
    <row r="20" spans="1:5" x14ac:dyDescent="0.3">
      <c r="A20" s="6" t="s">
        <v>39</v>
      </c>
      <c r="D20" s="7">
        <v>416</v>
      </c>
      <c r="E20" s="10" t="s">
        <v>40</v>
      </c>
    </row>
    <row r="22" spans="1:5" x14ac:dyDescent="0.3">
      <c r="A22" s="3" t="s">
        <v>41</v>
      </c>
    </row>
    <row r="23" spans="1:5" ht="28.8" x14ac:dyDescent="0.3">
      <c r="A23" s="5" t="s">
        <v>42</v>
      </c>
      <c r="B23" s="5" t="s">
        <v>43</v>
      </c>
    </row>
    <row r="24" spans="1:5" x14ac:dyDescent="0.3">
      <c r="A24" s="6" t="s">
        <v>44</v>
      </c>
      <c r="B24" s="7">
        <v>845</v>
      </c>
    </row>
    <row r="25" spans="1:5" x14ac:dyDescent="0.3">
      <c r="A25" s="6" t="s">
        <v>45</v>
      </c>
      <c r="B25" s="7">
        <v>724</v>
      </c>
    </row>
    <row r="26" spans="1:5" x14ac:dyDescent="0.3">
      <c r="A26" s="6" t="s">
        <v>46</v>
      </c>
      <c r="B26" s="7">
        <v>353</v>
      </c>
    </row>
    <row r="27" spans="1:5" x14ac:dyDescent="0.3">
      <c r="A27" s="6" t="s">
        <v>47</v>
      </c>
      <c r="B27" s="7">
        <v>316</v>
      </c>
    </row>
    <row r="28" spans="1:5" x14ac:dyDescent="0.3">
      <c r="A28" s="6" t="s">
        <v>48</v>
      </c>
      <c r="B28" s="7">
        <v>247</v>
      </c>
    </row>
    <row r="29" spans="1:5" x14ac:dyDescent="0.3">
      <c r="A29" s="6" t="s">
        <v>49</v>
      </c>
      <c r="B29" s="7">
        <v>197</v>
      </c>
    </row>
    <row r="30" spans="1:5" x14ac:dyDescent="0.3">
      <c r="A30" s="6" t="s">
        <v>50</v>
      </c>
      <c r="B30" s="7">
        <v>183</v>
      </c>
    </row>
    <row r="31" spans="1:5" x14ac:dyDescent="0.3">
      <c r="A31" s="6" t="s">
        <v>51</v>
      </c>
      <c r="B31" s="7">
        <v>170</v>
      </c>
    </row>
    <row r="32" spans="1:5" x14ac:dyDescent="0.3">
      <c r="A32" s="6" t="s">
        <v>52</v>
      </c>
      <c r="B32" s="7">
        <v>149</v>
      </c>
    </row>
    <row r="33" spans="1:2" x14ac:dyDescent="0.3">
      <c r="A33" s="6" t="s">
        <v>53</v>
      </c>
      <c r="B33" s="7">
        <v>142</v>
      </c>
    </row>
    <row r="34" spans="1:2" x14ac:dyDescent="0.3">
      <c r="A34" s="6" t="s">
        <v>54</v>
      </c>
      <c r="B34" s="7">
        <v>104</v>
      </c>
    </row>
    <row r="35" spans="1:2" x14ac:dyDescent="0.3">
      <c r="A35" s="6" t="s">
        <v>55</v>
      </c>
      <c r="B35" s="7">
        <v>101</v>
      </c>
    </row>
    <row r="36" spans="1:2" x14ac:dyDescent="0.3">
      <c r="A36" s="6" t="s">
        <v>56</v>
      </c>
      <c r="B36" s="7">
        <v>70</v>
      </c>
    </row>
    <row r="38" spans="1:2" x14ac:dyDescent="0.3">
      <c r="A38" s="3" t="s">
        <v>57</v>
      </c>
    </row>
    <row r="39" spans="1:2" ht="28.8" x14ac:dyDescent="0.3">
      <c r="A39" s="5" t="s">
        <v>58</v>
      </c>
      <c r="B39" s="5" t="s">
        <v>59</v>
      </c>
    </row>
    <row r="40" spans="1:2" x14ac:dyDescent="0.3">
      <c r="A40" s="6">
        <v>2015</v>
      </c>
      <c r="B40" s="7">
        <v>156</v>
      </c>
    </row>
    <row r="41" spans="1:2" x14ac:dyDescent="0.3">
      <c r="A41" s="6">
        <v>2016</v>
      </c>
      <c r="B41" s="7">
        <v>151</v>
      </c>
    </row>
    <row r="42" spans="1:2" x14ac:dyDescent="0.3">
      <c r="A42" s="6">
        <v>2017</v>
      </c>
      <c r="B42" s="7">
        <v>220</v>
      </c>
    </row>
    <row r="43" spans="1:2" x14ac:dyDescent="0.3">
      <c r="A43" s="6">
        <v>2018</v>
      </c>
      <c r="B43" s="7">
        <v>171</v>
      </c>
    </row>
    <row r="44" spans="1:2" x14ac:dyDescent="0.3">
      <c r="A44" s="6">
        <v>2019</v>
      </c>
      <c r="B44" s="7">
        <v>263</v>
      </c>
    </row>
    <row r="45" spans="1:2" x14ac:dyDescent="0.3">
      <c r="A45" s="6">
        <v>2020</v>
      </c>
      <c r="B45" s="7">
        <v>180</v>
      </c>
    </row>
    <row r="46" spans="1:2" x14ac:dyDescent="0.3">
      <c r="A46" s="6">
        <v>2021</v>
      </c>
      <c r="B46" s="7">
        <v>337</v>
      </c>
    </row>
    <row r="47" spans="1:2" x14ac:dyDescent="0.3">
      <c r="A47" s="6">
        <v>2022</v>
      </c>
      <c r="B47" s="7">
        <v>374</v>
      </c>
    </row>
    <row r="48" spans="1:2" x14ac:dyDescent="0.3">
      <c r="A48" s="6">
        <v>2023</v>
      </c>
      <c r="B48" s="7">
        <v>481</v>
      </c>
    </row>
    <row r="49" spans="1:2" x14ac:dyDescent="0.3">
      <c r="A49" s="6">
        <v>2024</v>
      </c>
      <c r="B49" s="7">
        <v>436</v>
      </c>
    </row>
    <row r="50" spans="1:2" x14ac:dyDescent="0.3">
      <c r="A50" s="6">
        <v>2025</v>
      </c>
      <c r="B50" s="7">
        <v>536</v>
      </c>
    </row>
    <row r="51" spans="1:2" x14ac:dyDescent="0.3">
      <c r="A51" s="6" t="s">
        <v>60</v>
      </c>
      <c r="B51" s="7">
        <v>361</v>
      </c>
    </row>
    <row r="53" spans="1:2" x14ac:dyDescent="0.3">
      <c r="A53" s="10" t="s">
        <v>61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1"/>
  <sheetViews>
    <sheetView workbookViewId="0"/>
  </sheetViews>
  <sheetFormatPr baseColWidth="10" defaultColWidth="8.88671875" defaultRowHeight="14.4" x14ac:dyDescent="0.3"/>
  <cols>
    <col min="1" max="1" width="64" customWidth="1"/>
    <col min="2" max="3" width="16" customWidth="1"/>
    <col min="4" max="4" width="52" customWidth="1"/>
  </cols>
  <sheetData>
    <row r="1" spans="1:4" ht="18" x14ac:dyDescent="0.35">
      <c r="A1" s="1" t="s">
        <v>62</v>
      </c>
    </row>
    <row r="2" spans="1:4" x14ac:dyDescent="0.3">
      <c r="A2" s="2" t="s">
        <v>63</v>
      </c>
    </row>
    <row r="4" spans="1:4" x14ac:dyDescent="0.3">
      <c r="A4" s="5" t="s">
        <v>64</v>
      </c>
      <c r="B4" s="5" t="s">
        <v>65</v>
      </c>
      <c r="C4" s="5" t="s">
        <v>66</v>
      </c>
      <c r="D4" s="5" t="s">
        <v>67</v>
      </c>
    </row>
    <row r="5" spans="1:4" x14ac:dyDescent="0.3">
      <c r="A5" s="6" t="s">
        <v>68</v>
      </c>
      <c r="B5" s="7">
        <v>32993</v>
      </c>
      <c r="C5" s="7">
        <v>1204276</v>
      </c>
      <c r="D5" s="6" t="s">
        <v>69</v>
      </c>
    </row>
    <row r="6" spans="1:4" x14ac:dyDescent="0.3">
      <c r="A6" s="6" t="s">
        <v>70</v>
      </c>
      <c r="B6" s="7">
        <v>1968</v>
      </c>
      <c r="C6" s="7">
        <v>86311</v>
      </c>
      <c r="D6" s="6" t="s">
        <v>71</v>
      </c>
    </row>
    <row r="7" spans="1:4" x14ac:dyDescent="0.3">
      <c r="A7" s="6" t="s">
        <v>72</v>
      </c>
      <c r="B7" s="11">
        <v>66742.5</v>
      </c>
      <c r="C7" s="11">
        <v>2921188.6</v>
      </c>
      <c r="D7" s="6" t="s">
        <v>73</v>
      </c>
    </row>
    <row r="8" spans="1:4" x14ac:dyDescent="0.3">
      <c r="A8" s="6" t="s">
        <v>74</v>
      </c>
      <c r="B8" s="11">
        <v>32.5</v>
      </c>
      <c r="C8" s="11">
        <v>37.1</v>
      </c>
      <c r="D8" s="6" t="s">
        <v>75</v>
      </c>
    </row>
    <row r="9" spans="1:4" x14ac:dyDescent="0.3">
      <c r="A9" s="6" t="s">
        <v>76</v>
      </c>
      <c r="B9" s="11">
        <v>28.4</v>
      </c>
      <c r="C9" s="7"/>
      <c r="D9" s="6" t="s">
        <v>77</v>
      </c>
    </row>
    <row r="10" spans="1:4" x14ac:dyDescent="0.3">
      <c r="A10" s="6" t="s">
        <v>78</v>
      </c>
      <c r="B10" s="11">
        <v>1.7</v>
      </c>
      <c r="C10" s="11">
        <v>3.6</v>
      </c>
      <c r="D10" s="6" t="s">
        <v>79</v>
      </c>
    </row>
    <row r="11" spans="1:4" x14ac:dyDescent="0.3">
      <c r="A11" s="6" t="s">
        <v>80</v>
      </c>
      <c r="B11" s="7">
        <v>898652</v>
      </c>
      <c r="C11" s="7"/>
      <c r="D11" s="6" t="s">
        <v>81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2"/>
  <sheetViews>
    <sheetView workbookViewId="0"/>
  </sheetViews>
  <sheetFormatPr baseColWidth="10" defaultColWidth="8.88671875" defaultRowHeight="14.4" x14ac:dyDescent="0.3"/>
  <cols>
    <col min="1" max="1" width="78" customWidth="1"/>
    <col min="2" max="7" width="20" customWidth="1"/>
  </cols>
  <sheetData>
    <row r="1" spans="1:7" ht="18" x14ac:dyDescent="0.35">
      <c r="A1" s="1" t="s">
        <v>82</v>
      </c>
    </row>
    <row r="2" spans="1:7" x14ac:dyDescent="0.3">
      <c r="A2" s="2" t="s">
        <v>83</v>
      </c>
    </row>
    <row r="4" spans="1:7" x14ac:dyDescent="0.3">
      <c r="A4" s="3" t="s">
        <v>84</v>
      </c>
    </row>
    <row r="5" spans="1:7" x14ac:dyDescent="0.3">
      <c r="A5" s="6" t="s">
        <v>85</v>
      </c>
      <c r="B5" s="7">
        <f>INEC_LosRios!B6</f>
        <v>1968</v>
      </c>
    </row>
    <row r="6" spans="1:7" x14ac:dyDescent="0.3">
      <c r="A6" s="6" t="s">
        <v>86</v>
      </c>
      <c r="B6" s="7">
        <f>SRI_LosRios!D17-SRI_LosRios!D20</f>
        <v>6541</v>
      </c>
    </row>
    <row r="7" spans="1:7" x14ac:dyDescent="0.3">
      <c r="A7" s="8" t="s">
        <v>87</v>
      </c>
      <c r="B7" s="12">
        <f>B5/B6</f>
        <v>0.30087142638740255</v>
      </c>
      <c r="C7" s="10" t="s">
        <v>88</v>
      </c>
    </row>
    <row r="8" spans="1:7" x14ac:dyDescent="0.3">
      <c r="A8" s="6" t="s">
        <v>89</v>
      </c>
      <c r="B8" s="13">
        <f>ROUND(B7,2)</f>
        <v>0.3</v>
      </c>
    </row>
    <row r="9" spans="1:7" x14ac:dyDescent="0.3">
      <c r="A9" s="6" t="s">
        <v>90</v>
      </c>
      <c r="B9" s="13">
        <v>1</v>
      </c>
    </row>
    <row r="11" spans="1:7" x14ac:dyDescent="0.3">
      <c r="A11" s="3" t="s">
        <v>91</v>
      </c>
    </row>
    <row r="12" spans="1:7" x14ac:dyDescent="0.3">
      <c r="A12" s="5" t="s">
        <v>92</v>
      </c>
      <c r="B12" s="5" t="s">
        <v>93</v>
      </c>
      <c r="C12" s="5" t="s">
        <v>94</v>
      </c>
      <c r="D12" s="5" t="s">
        <v>95</v>
      </c>
      <c r="E12" s="5" t="s">
        <v>96</v>
      </c>
      <c r="F12" s="5" t="s">
        <v>97</v>
      </c>
      <c r="G12" s="5" t="s">
        <v>98</v>
      </c>
    </row>
    <row r="13" spans="1:7" x14ac:dyDescent="0.3">
      <c r="A13" s="6" t="s">
        <v>25</v>
      </c>
      <c r="B13" s="13">
        <v>0.01</v>
      </c>
      <c r="C13" s="13">
        <v>1.4999999999999999E-2</v>
      </c>
      <c r="D13" s="13">
        <v>2.5000000000000001E-2</v>
      </c>
      <c r="E13" s="13">
        <v>3.5000000000000003E-2</v>
      </c>
      <c r="F13" s="13">
        <v>0.05</v>
      </c>
      <c r="G13" s="13">
        <v>7.0000000000000007E-2</v>
      </c>
    </row>
    <row r="14" spans="1:7" x14ac:dyDescent="0.3">
      <c r="A14" s="6" t="s">
        <v>26</v>
      </c>
      <c r="B14" s="13">
        <v>0.02</v>
      </c>
      <c r="C14" s="13">
        <v>0.03</v>
      </c>
      <c r="D14" s="13">
        <v>0.05</v>
      </c>
      <c r="E14" s="13">
        <v>7.0000000000000007E-2</v>
      </c>
      <c r="F14" s="13">
        <v>0.1</v>
      </c>
      <c r="G14" s="13">
        <v>0.14000000000000001</v>
      </c>
    </row>
    <row r="15" spans="1:7" x14ac:dyDescent="0.3">
      <c r="A15" s="6" t="s">
        <v>27</v>
      </c>
      <c r="B15" s="13">
        <v>0.05</v>
      </c>
      <c r="C15" s="13">
        <v>7.0000000000000007E-2</v>
      </c>
      <c r="D15" s="13">
        <v>0.1</v>
      </c>
      <c r="E15" s="13">
        <v>0.14000000000000001</v>
      </c>
      <c r="F15" s="13">
        <v>0.18</v>
      </c>
      <c r="G15" s="13">
        <v>0.24</v>
      </c>
    </row>
    <row r="16" spans="1:7" x14ac:dyDescent="0.3">
      <c r="A16" s="6" t="s">
        <v>28</v>
      </c>
      <c r="B16" s="13">
        <v>0.04</v>
      </c>
      <c r="C16" s="13">
        <v>0.05</v>
      </c>
      <c r="D16" s="13">
        <v>0.08</v>
      </c>
      <c r="E16" s="13">
        <v>0.11</v>
      </c>
      <c r="F16" s="13">
        <v>0.15</v>
      </c>
      <c r="G16" s="13">
        <v>0.2</v>
      </c>
    </row>
    <row r="17" spans="1:7" x14ac:dyDescent="0.3">
      <c r="A17" s="6" t="s">
        <v>29</v>
      </c>
      <c r="B17" s="13">
        <v>0.05</v>
      </c>
      <c r="C17" s="13">
        <v>7.0000000000000007E-2</v>
      </c>
      <c r="D17" s="13">
        <v>0.1</v>
      </c>
      <c r="E17" s="13">
        <v>0.14000000000000001</v>
      </c>
      <c r="F17" s="13">
        <v>0.2</v>
      </c>
      <c r="G17" s="13">
        <v>0.26</v>
      </c>
    </row>
    <row r="18" spans="1:7" x14ac:dyDescent="0.3">
      <c r="A18" s="6" t="s">
        <v>30</v>
      </c>
      <c r="B18" s="13">
        <v>0.02</v>
      </c>
      <c r="C18" s="13">
        <v>0.03</v>
      </c>
      <c r="D18" s="13">
        <v>0.05</v>
      </c>
      <c r="E18" s="13">
        <v>7.0000000000000007E-2</v>
      </c>
      <c r="F18" s="13">
        <v>0.1</v>
      </c>
      <c r="G18" s="13">
        <v>0.14000000000000001</v>
      </c>
    </row>
    <row r="19" spans="1:7" x14ac:dyDescent="0.3">
      <c r="A19" s="6" t="s">
        <v>31</v>
      </c>
      <c r="B19" s="13">
        <v>5.0000000000000001E-3</v>
      </c>
      <c r="C19" s="13">
        <v>7.4999999999999997E-3</v>
      </c>
      <c r="D19" s="13">
        <v>1.4999999999999999E-2</v>
      </c>
      <c r="E19" s="13">
        <v>0.02</v>
      </c>
      <c r="F19" s="13">
        <v>0.03</v>
      </c>
      <c r="G19" s="13">
        <v>0.04</v>
      </c>
    </row>
    <row r="20" spans="1:7" x14ac:dyDescent="0.3">
      <c r="A20" s="6" t="s">
        <v>32</v>
      </c>
      <c r="B20" s="13">
        <v>0.1</v>
      </c>
      <c r="C20" s="13">
        <v>0.15</v>
      </c>
      <c r="D20" s="13">
        <v>0.25</v>
      </c>
      <c r="E20" s="13">
        <v>0.35</v>
      </c>
      <c r="F20" s="13">
        <v>0.4</v>
      </c>
      <c r="G20" s="13">
        <v>0.55000000000000004</v>
      </c>
    </row>
    <row r="21" spans="1:7" x14ac:dyDescent="0.3">
      <c r="A21" s="6" t="s">
        <v>33</v>
      </c>
      <c r="B21" s="13">
        <v>0.15</v>
      </c>
      <c r="C21" s="13">
        <v>0.2</v>
      </c>
      <c r="D21" s="13">
        <v>0.3</v>
      </c>
      <c r="E21" s="13">
        <v>0.4</v>
      </c>
      <c r="F21" s="13">
        <v>0.5</v>
      </c>
      <c r="G21" s="13">
        <v>0.6</v>
      </c>
    </row>
    <row r="22" spans="1:7" x14ac:dyDescent="0.3">
      <c r="A22" s="10" t="s">
        <v>99</v>
      </c>
    </row>
    <row r="24" spans="1:7" x14ac:dyDescent="0.3">
      <c r="A24" s="3" t="s">
        <v>100</v>
      </c>
    </row>
    <row r="25" spans="1:7" x14ac:dyDescent="0.3">
      <c r="A25" s="5"/>
      <c r="B25" s="5" t="s">
        <v>101</v>
      </c>
      <c r="C25" s="5" t="s">
        <v>102</v>
      </c>
      <c r="D25" s="5" t="s">
        <v>103</v>
      </c>
    </row>
    <row r="26" spans="1:7" x14ac:dyDescent="0.3">
      <c r="A26" s="6" t="s">
        <v>104</v>
      </c>
      <c r="B26" s="14">
        <v>1</v>
      </c>
      <c r="C26" s="14">
        <v>1.5</v>
      </c>
      <c r="D26" s="14">
        <v>2</v>
      </c>
    </row>
    <row r="27" spans="1:7" x14ac:dyDescent="0.3">
      <c r="A27" s="6" t="s">
        <v>105</v>
      </c>
      <c r="B27" s="15">
        <v>0</v>
      </c>
    </row>
    <row r="29" spans="1:7" x14ac:dyDescent="0.3">
      <c r="A29" s="3" t="s">
        <v>106</v>
      </c>
    </row>
    <row r="30" spans="1:7" x14ac:dyDescent="0.3">
      <c r="A30" s="6" t="s">
        <v>107</v>
      </c>
      <c r="B30" s="7">
        <v>7476</v>
      </c>
    </row>
    <row r="31" spans="1:7" x14ac:dyDescent="0.3">
      <c r="A31" s="6" t="s">
        <v>108</v>
      </c>
      <c r="B31" s="7">
        <v>5079</v>
      </c>
    </row>
    <row r="32" spans="1:7" x14ac:dyDescent="0.3">
      <c r="A32" s="6" t="s">
        <v>109</v>
      </c>
      <c r="B32" s="12">
        <f>INEC_LosRios!B11/16938986</f>
        <v>5.3052290142987304E-2</v>
      </c>
      <c r="C32" s="10" t="s">
        <v>110</v>
      </c>
    </row>
    <row r="33" spans="1:4" x14ac:dyDescent="0.3">
      <c r="A33" s="5"/>
      <c r="B33" s="5" t="s">
        <v>111</v>
      </c>
      <c r="C33" s="5" t="s">
        <v>112</v>
      </c>
      <c r="D33" s="5" t="s">
        <v>113</v>
      </c>
    </row>
    <row r="34" spans="1:4" x14ac:dyDescent="0.3">
      <c r="A34" s="6" t="s">
        <v>114</v>
      </c>
      <c r="B34" s="15">
        <v>69</v>
      </c>
      <c r="C34" s="15">
        <f>ROUND(B30*0.025,0)</f>
        <v>187</v>
      </c>
      <c r="D34" s="15">
        <f>ROUND(B30*B32,0)</f>
        <v>397</v>
      </c>
    </row>
    <row r="35" spans="1:4" x14ac:dyDescent="0.3">
      <c r="A35" s="10" t="s">
        <v>115</v>
      </c>
    </row>
    <row r="36" spans="1:4" x14ac:dyDescent="0.3">
      <c r="A36" s="6" t="s">
        <v>116</v>
      </c>
      <c r="B36" s="13">
        <v>0.02</v>
      </c>
      <c r="C36" s="13">
        <v>0.05</v>
      </c>
      <c r="D36" s="13">
        <v>0.1</v>
      </c>
    </row>
    <row r="38" spans="1:4" x14ac:dyDescent="0.3">
      <c r="A38" s="3" t="s">
        <v>117</v>
      </c>
    </row>
    <row r="39" spans="1:4" x14ac:dyDescent="0.3">
      <c r="A39" s="6" t="s">
        <v>118</v>
      </c>
      <c r="B39" s="15">
        <v>40</v>
      </c>
    </row>
    <row r="40" spans="1:4" x14ac:dyDescent="0.3">
      <c r="A40" s="6" t="s">
        <v>119</v>
      </c>
      <c r="B40" s="13">
        <v>0.60960000000000003</v>
      </c>
    </row>
    <row r="41" spans="1:4" x14ac:dyDescent="0.3">
      <c r="A41" s="6" t="s">
        <v>120</v>
      </c>
      <c r="B41" s="16">
        <v>2027</v>
      </c>
    </row>
    <row r="42" spans="1:4" x14ac:dyDescent="0.3">
      <c r="A42" s="6" t="s">
        <v>121</v>
      </c>
      <c r="B42" s="16">
        <v>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32"/>
  <sheetViews>
    <sheetView workbookViewId="0"/>
  </sheetViews>
  <sheetFormatPr baseColWidth="10" defaultColWidth="8.88671875" defaultRowHeight="14.4" x14ac:dyDescent="0.3"/>
  <cols>
    <col min="1" max="1" width="56" customWidth="1"/>
    <col min="2" max="2" width="18" customWidth="1"/>
    <col min="3" max="3" width="14" customWidth="1"/>
    <col min="4" max="10" width="18" customWidth="1"/>
  </cols>
  <sheetData>
    <row r="1" spans="1:10" ht="18" x14ac:dyDescent="0.35">
      <c r="A1" s="1" t="s">
        <v>122</v>
      </c>
    </row>
    <row r="2" spans="1:10" x14ac:dyDescent="0.3">
      <c r="A2" s="2" t="s">
        <v>123</v>
      </c>
    </row>
    <row r="4" spans="1:10" ht="28.8" x14ac:dyDescent="0.3">
      <c r="A4" s="5" t="s">
        <v>92</v>
      </c>
      <c r="B4" s="5" t="s">
        <v>124</v>
      </c>
      <c r="C4" s="5" t="s">
        <v>125</v>
      </c>
      <c r="D4" s="5" t="s">
        <v>126</v>
      </c>
      <c r="E4" s="5" t="s">
        <v>127</v>
      </c>
      <c r="F4" s="5" t="s">
        <v>128</v>
      </c>
      <c r="G4" s="5" t="s">
        <v>129</v>
      </c>
      <c r="H4" s="5" t="s">
        <v>130</v>
      </c>
      <c r="I4" s="5" t="s">
        <v>131</v>
      </c>
      <c r="J4" s="5" t="s">
        <v>132</v>
      </c>
    </row>
    <row r="5" spans="1:10" x14ac:dyDescent="0.3">
      <c r="A5" s="6" t="str">
        <f>SRI_LosRios!A5</f>
        <v>G1 Agricultura, ganadería y silvicultura</v>
      </c>
      <c r="B5" s="7">
        <f>SRI_LosRios!D5</f>
        <v>1397</v>
      </c>
      <c r="C5" s="17">
        <f>Supuestos!$B$8</f>
        <v>0.3</v>
      </c>
      <c r="D5" s="11">
        <f t="shared" ref="D5:D13" si="0">B5*C5</f>
        <v>419.09999999999997</v>
      </c>
      <c r="E5" s="11">
        <f>D5*Supuestos!B13</f>
        <v>4.1909999999999998</v>
      </c>
      <c r="F5" s="11">
        <f>D5*Supuestos!C13</f>
        <v>6.2864999999999993</v>
      </c>
      <c r="G5" s="11">
        <f>D5*Supuestos!D13</f>
        <v>10.477499999999999</v>
      </c>
      <c r="H5" s="11">
        <f>D5*Supuestos!E13</f>
        <v>14.6685</v>
      </c>
      <c r="I5" s="11">
        <f>D5*Supuestos!F13</f>
        <v>20.954999999999998</v>
      </c>
      <c r="J5" s="11">
        <f>D5*Supuestos!G13</f>
        <v>29.337</v>
      </c>
    </row>
    <row r="6" spans="1:10" x14ac:dyDescent="0.3">
      <c r="A6" s="6" t="str">
        <f>SRI_LosRios!A6</f>
        <v>G2 Pesca y acuicultura</v>
      </c>
      <c r="B6" s="7">
        <f>SRI_LosRios!D6</f>
        <v>14</v>
      </c>
      <c r="C6" s="17">
        <f>Supuestos!$B$8</f>
        <v>0.3</v>
      </c>
      <c r="D6" s="11">
        <f t="shared" si="0"/>
        <v>4.2</v>
      </c>
      <c r="E6" s="11">
        <f>D6*Supuestos!B14</f>
        <v>8.4000000000000005E-2</v>
      </c>
      <c r="F6" s="11">
        <f>D6*Supuestos!C14</f>
        <v>0.126</v>
      </c>
      <c r="G6" s="11">
        <f>D6*Supuestos!D14</f>
        <v>0.21000000000000002</v>
      </c>
      <c r="H6" s="11">
        <f>D6*Supuestos!E14</f>
        <v>0.29400000000000004</v>
      </c>
      <c r="I6" s="11">
        <f>D6*Supuestos!F14</f>
        <v>0.42000000000000004</v>
      </c>
      <c r="J6" s="11">
        <f>D6*Supuestos!G14</f>
        <v>0.58800000000000008</v>
      </c>
    </row>
    <row r="7" spans="1:10" x14ac:dyDescent="0.3">
      <c r="A7" s="6" t="str">
        <f>SRI_LosRios!A7</f>
        <v>G3 Alimentos y bebidas (agroindustria)</v>
      </c>
      <c r="B7" s="7">
        <f>SRI_LosRios!D7</f>
        <v>93</v>
      </c>
      <c r="C7" s="17">
        <f>Supuestos!$B$8</f>
        <v>0.3</v>
      </c>
      <c r="D7" s="11">
        <f t="shared" si="0"/>
        <v>27.9</v>
      </c>
      <c r="E7" s="11">
        <f>D7*Supuestos!B15</f>
        <v>1.395</v>
      </c>
      <c r="F7" s="11">
        <f>D7*Supuestos!C15</f>
        <v>1.9530000000000001</v>
      </c>
      <c r="G7" s="11">
        <f>D7*Supuestos!D15</f>
        <v>2.79</v>
      </c>
      <c r="H7" s="11">
        <f>D7*Supuestos!E15</f>
        <v>3.9060000000000001</v>
      </c>
      <c r="I7" s="11">
        <f>D7*Supuestos!F15</f>
        <v>5.0219999999999994</v>
      </c>
      <c r="J7" s="11">
        <f>D7*Supuestos!G15</f>
        <v>6.6959999999999997</v>
      </c>
    </row>
    <row r="8" spans="1:10" x14ac:dyDescent="0.3">
      <c r="A8" s="6" t="str">
        <f>SRI_LosRios!A8</f>
        <v>G4 Otras manufacturas</v>
      </c>
      <c r="B8" s="7">
        <f>SRI_LosRios!D8</f>
        <v>163</v>
      </c>
      <c r="C8" s="17">
        <f>Supuestos!$B$8</f>
        <v>0.3</v>
      </c>
      <c r="D8" s="11">
        <f t="shared" si="0"/>
        <v>48.9</v>
      </c>
      <c r="E8" s="11">
        <f>D8*Supuestos!B16</f>
        <v>1.956</v>
      </c>
      <c r="F8" s="11">
        <f>D8*Supuestos!C16</f>
        <v>2.4450000000000003</v>
      </c>
      <c r="G8" s="11">
        <f>D8*Supuestos!D16</f>
        <v>3.9119999999999999</v>
      </c>
      <c r="H8" s="11">
        <f>D8*Supuestos!E16</f>
        <v>5.3789999999999996</v>
      </c>
      <c r="I8" s="11">
        <f>D8*Supuestos!F16</f>
        <v>7.3349999999999991</v>
      </c>
      <c r="J8" s="11">
        <f>D8*Supuestos!G16</f>
        <v>9.7800000000000011</v>
      </c>
    </row>
    <row r="9" spans="1:10" x14ac:dyDescent="0.3">
      <c r="A9" s="6" t="str">
        <f>SRI_LosRios!A9</f>
        <v>G5 Energía, agua y saneamiento</v>
      </c>
      <c r="B9" s="7">
        <f>SRI_LosRios!D9</f>
        <v>97</v>
      </c>
      <c r="C9" s="17">
        <f>Supuestos!$B$8</f>
        <v>0.3</v>
      </c>
      <c r="D9" s="11">
        <f t="shared" si="0"/>
        <v>29.099999999999998</v>
      </c>
      <c r="E9" s="11">
        <f>D9*Supuestos!B17</f>
        <v>1.4550000000000001</v>
      </c>
      <c r="F9" s="11">
        <f>D9*Supuestos!C17</f>
        <v>2.0369999999999999</v>
      </c>
      <c r="G9" s="11">
        <f>D9*Supuestos!D17</f>
        <v>2.91</v>
      </c>
      <c r="H9" s="11">
        <f>D9*Supuestos!E17</f>
        <v>4.0739999999999998</v>
      </c>
      <c r="I9" s="11">
        <f>D9*Supuestos!F17</f>
        <v>5.82</v>
      </c>
      <c r="J9" s="11">
        <f>D9*Supuestos!G17</f>
        <v>7.5659999999999998</v>
      </c>
    </row>
    <row r="10" spans="1:10" x14ac:dyDescent="0.3">
      <c r="A10" s="6" t="str">
        <f>SRI_LosRios!A10</f>
        <v>G6 Transporte y almacenamiento</v>
      </c>
      <c r="B10" s="7">
        <f>SRI_LosRios!D10</f>
        <v>507</v>
      </c>
      <c r="C10" s="17">
        <f>Supuestos!$B$8</f>
        <v>0.3</v>
      </c>
      <c r="D10" s="11">
        <f t="shared" si="0"/>
        <v>152.1</v>
      </c>
      <c r="E10" s="11">
        <f>D10*Supuestos!B18</f>
        <v>3.0419999999999998</v>
      </c>
      <c r="F10" s="11">
        <f>D10*Supuestos!C18</f>
        <v>4.5629999999999997</v>
      </c>
      <c r="G10" s="11">
        <f>D10*Supuestos!D18</f>
        <v>7.6050000000000004</v>
      </c>
      <c r="H10" s="11">
        <f>D10*Supuestos!E18</f>
        <v>10.647</v>
      </c>
      <c r="I10" s="11">
        <f>D10*Supuestos!F18</f>
        <v>15.21</v>
      </c>
      <c r="J10" s="11">
        <f>D10*Supuestos!G18</f>
        <v>21.294</v>
      </c>
    </row>
    <row r="11" spans="1:10" x14ac:dyDescent="0.3">
      <c r="A11" s="6" t="str">
        <f>SRI_LosRios!A11</f>
        <v>G7 Comercio al por mayor</v>
      </c>
      <c r="B11" s="7">
        <f>SRI_LosRios!D11</f>
        <v>1067</v>
      </c>
      <c r="C11" s="17">
        <f>Supuestos!$B$8</f>
        <v>0.3</v>
      </c>
      <c r="D11" s="11">
        <f t="shared" si="0"/>
        <v>320.09999999999997</v>
      </c>
      <c r="E11" s="11">
        <f>D11*Supuestos!B19</f>
        <v>1.6004999999999998</v>
      </c>
      <c r="F11" s="11">
        <f>D11*Supuestos!C19</f>
        <v>2.4007499999999995</v>
      </c>
      <c r="G11" s="11">
        <f>D11*Supuestos!D19</f>
        <v>4.801499999999999</v>
      </c>
      <c r="H11" s="11">
        <f>D11*Supuestos!E19</f>
        <v>6.4019999999999992</v>
      </c>
      <c r="I11" s="11">
        <f>D11*Supuestos!F19</f>
        <v>9.602999999999998</v>
      </c>
      <c r="J11" s="11">
        <f>D11*Supuestos!G19</f>
        <v>12.803999999999998</v>
      </c>
    </row>
    <row r="12" spans="1:10" x14ac:dyDescent="0.3">
      <c r="A12" s="6" t="str">
        <f>SRI_LosRios!A12</f>
        <v>G8 Administración pública (GAD y entidades)</v>
      </c>
      <c r="B12" s="7">
        <f>SRI_LosRios!D12</f>
        <v>96</v>
      </c>
      <c r="C12" s="17">
        <f>Supuestos!$B$9</f>
        <v>1</v>
      </c>
      <c r="D12" s="11">
        <f t="shared" si="0"/>
        <v>96</v>
      </c>
      <c r="E12" s="11">
        <f>D12*Supuestos!B20</f>
        <v>9.6000000000000014</v>
      </c>
      <c r="F12" s="11">
        <f>D12*Supuestos!C20</f>
        <v>14.399999999999999</v>
      </c>
      <c r="G12" s="11">
        <f>D12*Supuestos!D20</f>
        <v>24</v>
      </c>
      <c r="H12" s="11">
        <f>D12*Supuestos!E20</f>
        <v>33.599999999999994</v>
      </c>
      <c r="I12" s="11">
        <f>D12*Supuestos!F20</f>
        <v>38.400000000000006</v>
      </c>
      <c r="J12" s="11">
        <f>D12*Supuestos!G20</f>
        <v>52.800000000000004</v>
      </c>
    </row>
    <row r="13" spans="1:10" x14ac:dyDescent="0.3">
      <c r="A13" s="6" t="str">
        <f>SRI_LosRios!A13</f>
        <v>G9 Proveedores tecnológicos (TIC, ingeniería, I+D)</v>
      </c>
      <c r="B13" s="7">
        <f>SRI_LosRios!D13</f>
        <v>257</v>
      </c>
      <c r="C13" s="17">
        <f>Supuestos!$B$8</f>
        <v>0.3</v>
      </c>
      <c r="D13" s="11">
        <f t="shared" si="0"/>
        <v>77.099999999999994</v>
      </c>
      <c r="E13" s="11">
        <f>D13*Supuestos!B21</f>
        <v>11.565</v>
      </c>
      <c r="F13" s="11">
        <f>D13*Supuestos!C21</f>
        <v>15.42</v>
      </c>
      <c r="G13" s="11">
        <f>D13*Supuestos!D21</f>
        <v>23.13</v>
      </c>
      <c r="H13" s="11">
        <f>D13*Supuestos!E21</f>
        <v>30.84</v>
      </c>
      <c r="I13" s="11">
        <f>D13*Supuestos!F21</f>
        <v>38.549999999999997</v>
      </c>
      <c r="J13" s="11">
        <f>D13*Supuestos!G21</f>
        <v>46.26</v>
      </c>
    </row>
    <row r="14" spans="1:10" x14ac:dyDescent="0.3">
      <c r="A14" s="8" t="s">
        <v>133</v>
      </c>
      <c r="B14" s="18">
        <f>SUM(B5:B13)</f>
        <v>3691</v>
      </c>
      <c r="D14" s="18">
        <f t="shared" ref="D14:J14" si="1">SUM(D5:D13)</f>
        <v>1174.4999999999998</v>
      </c>
      <c r="E14" s="18">
        <f t="shared" si="1"/>
        <v>34.888500000000001</v>
      </c>
      <c r="F14" s="18">
        <f t="shared" si="1"/>
        <v>49.631249999999994</v>
      </c>
      <c r="G14" s="18">
        <f t="shared" si="1"/>
        <v>79.835999999999999</v>
      </c>
      <c r="H14" s="18">
        <f t="shared" si="1"/>
        <v>109.81049999999999</v>
      </c>
      <c r="I14" s="18">
        <f t="shared" si="1"/>
        <v>141.315</v>
      </c>
      <c r="J14" s="18">
        <f t="shared" si="1"/>
        <v>187.125</v>
      </c>
    </row>
    <row r="16" spans="1:10" x14ac:dyDescent="0.3">
      <c r="A16" s="3" t="s">
        <v>134</v>
      </c>
    </row>
    <row r="17" spans="1:4" ht="28.8" x14ac:dyDescent="0.3">
      <c r="A17" s="5" t="s">
        <v>135</v>
      </c>
      <c r="B17" s="5" t="s">
        <v>136</v>
      </c>
      <c r="C17" s="5" t="s">
        <v>137</v>
      </c>
      <c r="D17" s="5" t="s">
        <v>138</v>
      </c>
    </row>
    <row r="18" spans="1:4" x14ac:dyDescent="0.3">
      <c r="A18" s="8" t="s">
        <v>101</v>
      </c>
      <c r="B18" s="7">
        <f>E14*Supuestos!B26-Supuestos!$B$27</f>
        <v>34.888500000000001</v>
      </c>
      <c r="C18" s="7">
        <f>F14*Supuestos!B26-Supuestos!$B$27</f>
        <v>49.631249999999994</v>
      </c>
      <c r="D18" s="11">
        <f>C18/5</f>
        <v>9.9262499999999996</v>
      </c>
    </row>
    <row r="19" spans="1:4" x14ac:dyDescent="0.3">
      <c r="A19" s="8" t="s">
        <v>102</v>
      </c>
      <c r="B19" s="7">
        <f>G14*Supuestos!C26-Supuestos!$B$27</f>
        <v>119.75399999999999</v>
      </c>
      <c r="C19" s="7">
        <f>H14*Supuestos!C26-Supuestos!$B$27</f>
        <v>164.71574999999999</v>
      </c>
      <c r="D19" s="11">
        <f>C19/5</f>
        <v>32.943149999999996</v>
      </c>
    </row>
    <row r="20" spans="1:4" x14ac:dyDescent="0.3">
      <c r="A20" s="8" t="s">
        <v>103</v>
      </c>
      <c r="B20" s="7">
        <f>I14*Supuestos!D26-Supuestos!$B$27</f>
        <v>282.63</v>
      </c>
      <c r="C20" s="7">
        <f>J14*Supuestos!D26-Supuestos!$B$27</f>
        <v>374.25</v>
      </c>
      <c r="D20" s="11">
        <f>C20/5</f>
        <v>74.849999999999994</v>
      </c>
    </row>
    <row r="22" spans="1:4" x14ac:dyDescent="0.3">
      <c r="A22" s="3" t="s">
        <v>139</v>
      </c>
    </row>
    <row r="23" spans="1:4" x14ac:dyDescent="0.3">
      <c r="A23" s="5" t="s">
        <v>92</v>
      </c>
      <c r="B23" s="5" t="s">
        <v>140</v>
      </c>
      <c r="C23" s="5" t="s">
        <v>141</v>
      </c>
    </row>
    <row r="24" spans="1:4" x14ac:dyDescent="0.3">
      <c r="A24" s="6" t="str">
        <f t="shared" ref="A24:A32" si="2">A5</f>
        <v>G1 Agricultura, ganadería y silvicultura</v>
      </c>
      <c r="B24" s="11">
        <f>H5*Supuestos!$C$26</f>
        <v>22.002749999999999</v>
      </c>
      <c r="C24" s="12">
        <f t="shared" ref="C24:C32" si="3">B24/SUM($B$24:$B$32)</f>
        <v>0.13358012211946946</v>
      </c>
    </row>
    <row r="25" spans="1:4" x14ac:dyDescent="0.3">
      <c r="A25" s="6" t="str">
        <f t="shared" si="2"/>
        <v>G2 Pesca y acuicultura</v>
      </c>
      <c r="B25" s="11">
        <f>H6*Supuestos!$C$26</f>
        <v>0.44100000000000006</v>
      </c>
      <c r="C25" s="12">
        <f t="shared" si="3"/>
        <v>2.6773395986722588E-3</v>
      </c>
    </row>
    <row r="26" spans="1:4" x14ac:dyDescent="0.3">
      <c r="A26" s="6" t="str">
        <f t="shared" si="2"/>
        <v>G3 Alimentos y bebidas (agroindustria)</v>
      </c>
      <c r="B26" s="11">
        <f>H7*Supuestos!$C$26</f>
        <v>5.859</v>
      </c>
      <c r="C26" s="12">
        <f t="shared" si="3"/>
        <v>3.5570368953788574E-2</v>
      </c>
    </row>
    <row r="27" spans="1:4" x14ac:dyDescent="0.3">
      <c r="A27" s="6" t="str">
        <f t="shared" si="2"/>
        <v>G4 Otras manufacturas</v>
      </c>
      <c r="B27" s="11">
        <f>H8*Supuestos!$C$26</f>
        <v>8.0685000000000002</v>
      </c>
      <c r="C27" s="12">
        <f t="shared" si="3"/>
        <v>4.8984386738973054E-2</v>
      </c>
    </row>
    <row r="28" spans="1:4" x14ac:dyDescent="0.3">
      <c r="A28" s="6" t="str">
        <f t="shared" si="2"/>
        <v>G5 Energía, agua y saneamiento</v>
      </c>
      <c r="B28" s="11">
        <f>H9*Supuestos!$C$26</f>
        <v>6.1109999999999998</v>
      </c>
      <c r="C28" s="12">
        <f t="shared" si="3"/>
        <v>3.710027729588701E-2</v>
      </c>
    </row>
    <row r="29" spans="1:4" x14ac:dyDescent="0.3">
      <c r="A29" s="6" t="str">
        <f t="shared" si="2"/>
        <v>G6 Transporte y almacenamiento</v>
      </c>
      <c r="B29" s="11">
        <f>H10*Supuestos!$C$26</f>
        <v>15.970500000000001</v>
      </c>
      <c r="C29" s="12">
        <f t="shared" si="3"/>
        <v>9.6957941180488227E-2</v>
      </c>
    </row>
    <row r="30" spans="1:4" x14ac:dyDescent="0.3">
      <c r="A30" s="6" t="str">
        <f t="shared" si="2"/>
        <v>G7 Comercio al por mayor</v>
      </c>
      <c r="B30" s="11">
        <f>H11*Supuestos!$C$26</f>
        <v>9.602999999999998</v>
      </c>
      <c r="C30" s="12">
        <f t="shared" si="3"/>
        <v>5.8300435750679572E-2</v>
      </c>
    </row>
    <row r="31" spans="1:4" x14ac:dyDescent="0.3">
      <c r="A31" s="6" t="str">
        <f t="shared" si="2"/>
        <v>G8 Administración pública (GAD y entidades)</v>
      </c>
      <c r="B31" s="11">
        <f>H12*Supuestos!$C$26</f>
        <v>50.399999999999991</v>
      </c>
      <c r="C31" s="12">
        <f t="shared" si="3"/>
        <v>0.3059816684196866</v>
      </c>
    </row>
    <row r="32" spans="1:4" x14ac:dyDescent="0.3">
      <c r="A32" s="6" t="str">
        <f t="shared" si="2"/>
        <v>G9 Proveedores tecnológicos (TIC, ingeniería, I+D)</v>
      </c>
      <c r="B32" s="11">
        <f>H13*Supuestos!$C$26</f>
        <v>46.26</v>
      </c>
      <c r="C32" s="12">
        <f t="shared" si="3"/>
        <v>0.28084745994235527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20"/>
  <sheetViews>
    <sheetView workbookViewId="0"/>
  </sheetViews>
  <sheetFormatPr baseColWidth="10" defaultColWidth="8.88671875" defaultRowHeight="14.4" x14ac:dyDescent="0.3"/>
  <cols>
    <col min="1" max="1" width="60" customWidth="1"/>
    <col min="2" max="4" width="18" customWidth="1"/>
  </cols>
  <sheetData>
    <row r="1" spans="1:4" ht="18" x14ac:dyDescent="0.35">
      <c r="A1" s="1" t="s">
        <v>142</v>
      </c>
    </row>
    <row r="2" spans="1:4" x14ac:dyDescent="0.3">
      <c r="A2" s="2" t="s">
        <v>143</v>
      </c>
    </row>
    <row r="4" spans="1:4" x14ac:dyDescent="0.3">
      <c r="A4" s="5" t="s">
        <v>144</v>
      </c>
      <c r="B4" s="5" t="s">
        <v>111</v>
      </c>
      <c r="C4" s="5" t="s">
        <v>112</v>
      </c>
      <c r="D4" s="5" t="s">
        <v>113</v>
      </c>
    </row>
    <row r="5" spans="1:4" x14ac:dyDescent="0.3">
      <c r="A5" s="6" t="s">
        <v>145</v>
      </c>
      <c r="B5" s="7">
        <f>Supuestos!B34</f>
        <v>69</v>
      </c>
      <c r="C5" s="7">
        <f>Supuestos!C34</f>
        <v>187</v>
      </c>
      <c r="D5" s="7">
        <f>Supuestos!D34</f>
        <v>397</v>
      </c>
    </row>
    <row r="6" spans="1:4" x14ac:dyDescent="0.3">
      <c r="A6" s="6" t="s">
        <v>146</v>
      </c>
      <c r="B6" s="12">
        <f>Supuestos!B36</f>
        <v>0.02</v>
      </c>
      <c r="C6" s="12">
        <f>Supuestos!C36</f>
        <v>0.05</v>
      </c>
      <c r="D6" s="12">
        <f>Supuestos!D36</f>
        <v>0.1</v>
      </c>
    </row>
    <row r="7" spans="1:4" x14ac:dyDescent="0.3">
      <c r="A7" s="8" t="s">
        <v>147</v>
      </c>
      <c r="B7" s="18">
        <f>B5*B6</f>
        <v>1.3800000000000001</v>
      </c>
      <c r="C7" s="18">
        <f>C5*C6</f>
        <v>9.35</v>
      </c>
      <c r="D7" s="18">
        <f>D5*D6</f>
        <v>39.700000000000003</v>
      </c>
    </row>
    <row r="9" spans="1:4" x14ac:dyDescent="0.3">
      <c r="A9" s="3" t="s">
        <v>148</v>
      </c>
    </row>
    <row r="10" spans="1:4" x14ac:dyDescent="0.3">
      <c r="A10" s="5" t="s">
        <v>149</v>
      </c>
      <c r="B10" s="5" t="s">
        <v>111</v>
      </c>
      <c r="C10" s="5" t="s">
        <v>112</v>
      </c>
      <c r="D10" s="5" t="s">
        <v>113</v>
      </c>
    </row>
    <row r="11" spans="1:4" x14ac:dyDescent="0.3">
      <c r="A11" s="6" t="s">
        <v>150</v>
      </c>
      <c r="B11" s="11">
        <f>B7*4</f>
        <v>5.5200000000000005</v>
      </c>
      <c r="C11" s="11">
        <f>C7*4</f>
        <v>37.4</v>
      </c>
      <c r="D11" s="11">
        <f>D7*4</f>
        <v>158.80000000000001</v>
      </c>
    </row>
    <row r="12" spans="1:4" x14ac:dyDescent="0.3">
      <c r="A12" s="6" t="s">
        <v>151</v>
      </c>
      <c r="B12" s="11">
        <f>B7*5</f>
        <v>6.9</v>
      </c>
      <c r="C12" s="11">
        <f>C7*5</f>
        <v>46.75</v>
      </c>
      <c r="D12" s="11">
        <f>D7*5</f>
        <v>198.5</v>
      </c>
    </row>
    <row r="14" spans="1:4" x14ac:dyDescent="0.3">
      <c r="A14" s="3" t="s">
        <v>152</v>
      </c>
    </row>
    <row r="15" spans="1:4" x14ac:dyDescent="0.3">
      <c r="A15" s="5" t="s">
        <v>144</v>
      </c>
      <c r="B15" s="5" t="s">
        <v>153</v>
      </c>
    </row>
    <row r="16" spans="1:4" x14ac:dyDescent="0.3">
      <c r="A16" s="6" t="s">
        <v>154</v>
      </c>
      <c r="B16" s="19">
        <f>Supuestos!B41+Supuestos!B42</f>
        <v>2031</v>
      </c>
    </row>
    <row r="17" spans="1:2" x14ac:dyDescent="0.3">
      <c r="A17" s="6" t="s">
        <v>155</v>
      </c>
      <c r="B17" s="11">
        <f>Supuestos!B39*Supuestos!B40</f>
        <v>24.384</v>
      </c>
    </row>
    <row r="18" spans="1:2" x14ac:dyDescent="0.3">
      <c r="A18" s="6" t="s">
        <v>156</v>
      </c>
      <c r="B18" s="11">
        <f>MAX(0,2030-B16+1)*B17</f>
        <v>0</v>
      </c>
    </row>
    <row r="19" spans="1:2" x14ac:dyDescent="0.3">
      <c r="A19" s="6" t="s">
        <v>157</v>
      </c>
      <c r="B19" s="11">
        <f>MAX(0,2031-B16+1)*B17</f>
        <v>24.384</v>
      </c>
    </row>
    <row r="20" spans="1:2" x14ac:dyDescent="0.3">
      <c r="A20" s="6" t="s">
        <v>158</v>
      </c>
      <c r="B20" s="11">
        <f>B17</f>
        <v>24.384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37"/>
  <sheetViews>
    <sheetView workbookViewId="0"/>
  </sheetViews>
  <sheetFormatPr baseColWidth="10" defaultColWidth="8.88671875" defaultRowHeight="14.4" x14ac:dyDescent="0.3"/>
  <cols>
    <col min="1" max="1" width="34" customWidth="1"/>
    <col min="2" max="2" width="22" customWidth="1"/>
    <col min="3" max="3" width="30" customWidth="1"/>
    <col min="4" max="4" width="24" customWidth="1"/>
    <col min="5" max="6" width="22" customWidth="1"/>
  </cols>
  <sheetData>
    <row r="1" spans="1:4" ht="18" x14ac:dyDescent="0.35">
      <c r="A1" s="1" t="s">
        <v>159</v>
      </c>
    </row>
    <row r="2" spans="1:4" x14ac:dyDescent="0.3">
      <c r="A2" s="2" t="s">
        <v>160</v>
      </c>
    </row>
    <row r="4" spans="1:4" ht="15.6" x14ac:dyDescent="0.3">
      <c r="A4" s="20" t="s">
        <v>161</v>
      </c>
    </row>
    <row r="5" spans="1:4" x14ac:dyDescent="0.3">
      <c r="A5" s="3" t="s">
        <v>162</v>
      </c>
    </row>
    <row r="6" spans="1:4" x14ac:dyDescent="0.3">
      <c r="A6" s="5" t="s">
        <v>163</v>
      </c>
      <c r="B6" s="5" t="s">
        <v>111</v>
      </c>
      <c r="C6" s="5" t="s">
        <v>112</v>
      </c>
      <c r="D6" s="5" t="s">
        <v>113</v>
      </c>
    </row>
    <row r="7" spans="1:4" x14ac:dyDescent="0.3">
      <c r="A7" s="8" t="s">
        <v>164</v>
      </c>
      <c r="B7" s="21">
        <f>Demanda!B18-Oferta!B11</f>
        <v>29.368500000000001</v>
      </c>
      <c r="C7" s="21">
        <f>Demanda!B18-Oferta!C11</f>
        <v>-2.5114999999999981</v>
      </c>
      <c r="D7" s="21">
        <f>Demanda!B18-Oferta!D11</f>
        <v>-123.91150000000002</v>
      </c>
    </row>
    <row r="8" spans="1:4" x14ac:dyDescent="0.3">
      <c r="A8" s="8" t="s">
        <v>165</v>
      </c>
      <c r="B8" s="21">
        <f>Demanda!B19-Oferta!B11</f>
        <v>114.23399999999999</v>
      </c>
      <c r="C8" s="21">
        <f>Demanda!B19-Oferta!C11</f>
        <v>82.353999999999985</v>
      </c>
      <c r="D8" s="21">
        <f>Demanda!B19-Oferta!D11</f>
        <v>-39.046000000000021</v>
      </c>
    </row>
    <row r="9" spans="1:4" x14ac:dyDescent="0.3">
      <c r="A9" s="8" t="s">
        <v>166</v>
      </c>
      <c r="B9" s="21">
        <f>Demanda!B20-Oferta!B11</f>
        <v>277.11</v>
      </c>
      <c r="C9" s="21">
        <f>Demanda!B20-Oferta!C11</f>
        <v>245.23</v>
      </c>
      <c r="D9" s="21">
        <f>Demanda!B20-Oferta!D11</f>
        <v>123.82999999999998</v>
      </c>
    </row>
    <row r="11" spans="1:4" x14ac:dyDescent="0.3">
      <c r="A11" s="3" t="s">
        <v>167</v>
      </c>
    </row>
    <row r="12" spans="1:4" x14ac:dyDescent="0.3">
      <c r="A12" s="5" t="s">
        <v>163</v>
      </c>
      <c r="B12" s="5" t="s">
        <v>111</v>
      </c>
      <c r="C12" s="5" t="s">
        <v>112</v>
      </c>
      <c r="D12" s="5" t="s">
        <v>113</v>
      </c>
    </row>
    <row r="13" spans="1:4" x14ac:dyDescent="0.3">
      <c r="A13" s="8" t="s">
        <v>164</v>
      </c>
      <c r="B13" s="21">
        <f>Demanda!B18-Oferta!B11-Oferta!B18</f>
        <v>29.368500000000001</v>
      </c>
      <c r="C13" s="21">
        <f>Demanda!B18-Oferta!C11-Oferta!B18</f>
        <v>-2.5114999999999981</v>
      </c>
      <c r="D13" s="21">
        <f>Demanda!B18-Oferta!D11-Oferta!B18</f>
        <v>-123.91150000000002</v>
      </c>
    </row>
    <row r="14" spans="1:4" x14ac:dyDescent="0.3">
      <c r="A14" s="8" t="s">
        <v>165</v>
      </c>
      <c r="B14" s="21">
        <f>Demanda!B19-Oferta!B11-Oferta!B18</f>
        <v>114.23399999999999</v>
      </c>
      <c r="C14" s="21">
        <f>Demanda!B19-Oferta!C11-Oferta!B18</f>
        <v>82.353999999999985</v>
      </c>
      <c r="D14" s="21">
        <f>Demanda!B19-Oferta!D11-Oferta!B18</f>
        <v>-39.046000000000021</v>
      </c>
    </row>
    <row r="15" spans="1:4" x14ac:dyDescent="0.3">
      <c r="A15" s="8" t="s">
        <v>166</v>
      </c>
      <c r="B15" s="21">
        <f>Demanda!B20-Oferta!B11-Oferta!B18</f>
        <v>277.11</v>
      </c>
      <c r="C15" s="21">
        <f>Demanda!B20-Oferta!C11-Oferta!B18</f>
        <v>245.23</v>
      </c>
      <c r="D15" s="21">
        <f>Demanda!B20-Oferta!D11-Oferta!B18</f>
        <v>123.82999999999998</v>
      </c>
    </row>
    <row r="18" spans="1:4" ht="15.6" x14ac:dyDescent="0.3">
      <c r="A18" s="20" t="s">
        <v>168</v>
      </c>
    </row>
    <row r="19" spans="1:4" x14ac:dyDescent="0.3">
      <c r="A19" s="3" t="s">
        <v>162</v>
      </c>
    </row>
    <row r="20" spans="1:4" x14ac:dyDescent="0.3">
      <c r="A20" s="5" t="s">
        <v>163</v>
      </c>
      <c r="B20" s="5" t="s">
        <v>111</v>
      </c>
      <c r="C20" s="5" t="s">
        <v>112</v>
      </c>
      <c r="D20" s="5" t="s">
        <v>113</v>
      </c>
    </row>
    <row r="21" spans="1:4" x14ac:dyDescent="0.3">
      <c r="A21" s="8" t="s">
        <v>164</v>
      </c>
      <c r="B21" s="21">
        <f>Demanda!C18-Oferta!B12</f>
        <v>42.731249999999996</v>
      </c>
      <c r="C21" s="21">
        <f>Demanda!C18-Oferta!C12</f>
        <v>2.8812499999999943</v>
      </c>
      <c r="D21" s="21">
        <f>Demanda!C18-Oferta!D12</f>
        <v>-148.86875000000001</v>
      </c>
    </row>
    <row r="22" spans="1:4" x14ac:dyDescent="0.3">
      <c r="A22" s="8" t="s">
        <v>165</v>
      </c>
      <c r="B22" s="21">
        <f>Demanda!C19-Oferta!B12</f>
        <v>157.81574999999998</v>
      </c>
      <c r="C22" s="21">
        <f>Demanda!C19-Oferta!C12</f>
        <v>117.96574999999999</v>
      </c>
      <c r="D22" s="21">
        <f>Demanda!C19-Oferta!D12</f>
        <v>-33.784250000000014</v>
      </c>
    </row>
    <row r="23" spans="1:4" x14ac:dyDescent="0.3">
      <c r="A23" s="8" t="s">
        <v>166</v>
      </c>
      <c r="B23" s="21">
        <f>Demanda!C20-Oferta!B12</f>
        <v>367.35</v>
      </c>
      <c r="C23" s="21">
        <f>Demanda!C20-Oferta!C12</f>
        <v>327.5</v>
      </c>
      <c r="D23" s="21">
        <f>Demanda!C20-Oferta!D12</f>
        <v>175.75</v>
      </c>
    </row>
    <row r="25" spans="1:4" x14ac:dyDescent="0.3">
      <c r="A25" s="3" t="s">
        <v>167</v>
      </c>
    </row>
    <row r="26" spans="1:4" x14ac:dyDescent="0.3">
      <c r="A26" s="5" t="s">
        <v>163</v>
      </c>
      <c r="B26" s="5" t="s">
        <v>111</v>
      </c>
      <c r="C26" s="5" t="s">
        <v>112</v>
      </c>
      <c r="D26" s="5" t="s">
        <v>113</v>
      </c>
    </row>
    <row r="27" spans="1:4" x14ac:dyDescent="0.3">
      <c r="A27" s="8" t="s">
        <v>164</v>
      </c>
      <c r="B27" s="21">
        <f>Demanda!C18-Oferta!B12-Oferta!B19</f>
        <v>18.347249999999995</v>
      </c>
      <c r="C27" s="21">
        <f>Demanda!C18-Oferta!C12-Oferta!B19</f>
        <v>-21.502750000000006</v>
      </c>
      <c r="D27" s="21">
        <f>Demanda!C18-Oferta!D12-Oferta!B19</f>
        <v>-173.25274999999999</v>
      </c>
    </row>
    <row r="28" spans="1:4" x14ac:dyDescent="0.3">
      <c r="A28" s="8" t="s">
        <v>165</v>
      </c>
      <c r="B28" s="21">
        <f>Demanda!C19-Oferta!B12-Oferta!B19</f>
        <v>133.43174999999997</v>
      </c>
      <c r="C28" s="21">
        <f>Demanda!C19-Oferta!C12-Oferta!B19</f>
        <v>93.581749999999985</v>
      </c>
      <c r="D28" s="21">
        <f>Demanda!C19-Oferta!D12-Oferta!B19</f>
        <v>-58.168250000000015</v>
      </c>
    </row>
    <row r="29" spans="1:4" x14ac:dyDescent="0.3">
      <c r="A29" s="8" t="s">
        <v>166</v>
      </c>
      <c r="B29" s="21">
        <f>Demanda!C20-Oferta!B12-Oferta!B19</f>
        <v>342.96600000000001</v>
      </c>
      <c r="C29" s="21">
        <f>Demanda!C20-Oferta!C12-Oferta!B19</f>
        <v>303.11599999999999</v>
      </c>
      <c r="D29" s="21">
        <f>Demanda!C20-Oferta!D12-Oferta!B19</f>
        <v>151.36599999999999</v>
      </c>
    </row>
    <row r="32" spans="1:4" ht="15.6" x14ac:dyDescent="0.3">
      <c r="A32" s="20" t="s">
        <v>169</v>
      </c>
    </row>
    <row r="33" spans="1:6" ht="28.8" x14ac:dyDescent="0.3">
      <c r="A33" s="5" t="s">
        <v>135</v>
      </c>
      <c r="B33" s="5" t="s">
        <v>170</v>
      </c>
      <c r="C33" s="5" t="s">
        <v>171</v>
      </c>
      <c r="D33" s="5" t="s">
        <v>172</v>
      </c>
      <c r="E33" s="5" t="s">
        <v>173</v>
      </c>
      <c r="F33" s="5" t="s">
        <v>174</v>
      </c>
    </row>
    <row r="34" spans="1:6" x14ac:dyDescent="0.3">
      <c r="A34" s="8" t="s">
        <v>101</v>
      </c>
      <c r="B34" s="11">
        <f>Demanda!D18</f>
        <v>9.9262499999999996</v>
      </c>
      <c r="C34" s="11">
        <f>Oferta!C7</f>
        <v>9.35</v>
      </c>
      <c r="D34" s="11">
        <f>Oferta!B20</f>
        <v>24.384</v>
      </c>
      <c r="E34" s="17">
        <f>C34/B34</f>
        <v>0.94194685807832768</v>
      </c>
      <c r="F34" s="17">
        <f>(C34+D34)/B34</f>
        <v>3.3984636695630277</v>
      </c>
    </row>
    <row r="35" spans="1:6" x14ac:dyDescent="0.3">
      <c r="A35" s="8" t="s">
        <v>102</v>
      </c>
      <c r="B35" s="11">
        <f>Demanda!D19</f>
        <v>32.943149999999996</v>
      </c>
      <c r="C35" s="11">
        <f>Oferta!C7</f>
        <v>9.35</v>
      </c>
      <c r="D35" s="11">
        <f>Oferta!B20</f>
        <v>24.384</v>
      </c>
      <c r="E35" s="17">
        <f>C35/B35</f>
        <v>0.28382228171865775</v>
      </c>
      <c r="F35" s="17">
        <f>(C35+D35)/B35</f>
        <v>1.0240065081815191</v>
      </c>
    </row>
    <row r="36" spans="1:6" x14ac:dyDescent="0.3">
      <c r="A36" s="8" t="s">
        <v>103</v>
      </c>
      <c r="B36" s="11">
        <f>Demanda!D20</f>
        <v>74.849999999999994</v>
      </c>
      <c r="C36" s="11">
        <f>Oferta!C7</f>
        <v>9.35</v>
      </c>
      <c r="D36" s="11">
        <f>Oferta!B20</f>
        <v>24.384</v>
      </c>
      <c r="E36" s="17">
        <f>C36/B36</f>
        <v>0.12491649966599867</v>
      </c>
      <c r="F36" s="17">
        <f>(C36+D36)/B36</f>
        <v>0.45068804275217106</v>
      </c>
    </row>
    <row r="37" spans="1:6" x14ac:dyDescent="0.3">
      <c r="A37" s="10" t="s">
        <v>175</v>
      </c>
    </row>
  </sheetData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3"/>
  <sheetViews>
    <sheetView workbookViewId="0"/>
  </sheetViews>
  <sheetFormatPr baseColWidth="10" defaultColWidth="8.88671875" defaultRowHeight="14.4" x14ac:dyDescent="0.3"/>
  <cols>
    <col min="1" max="1" width="56" customWidth="1"/>
    <col min="2" max="5" width="14" customWidth="1"/>
  </cols>
  <sheetData>
    <row r="1" spans="1:5" ht="18" x14ac:dyDescent="0.35">
      <c r="A1" s="1" t="s">
        <v>176</v>
      </c>
    </row>
    <row r="2" spans="1:5" x14ac:dyDescent="0.3">
      <c r="A2" s="2" t="s">
        <v>177</v>
      </c>
    </row>
    <row r="4" spans="1:5" x14ac:dyDescent="0.3">
      <c r="A4" s="6" t="s">
        <v>178</v>
      </c>
      <c r="B4" s="11">
        <f>Demanda!H14</f>
        <v>109.81049999999999</v>
      </c>
    </row>
    <row r="6" spans="1:5" x14ac:dyDescent="0.3">
      <c r="A6" s="5" t="s">
        <v>179</v>
      </c>
      <c r="B6" s="22">
        <v>1</v>
      </c>
      <c r="C6" s="22">
        <v>1.5</v>
      </c>
      <c r="D6" s="22">
        <v>2</v>
      </c>
      <c r="E6" s="22">
        <v>3</v>
      </c>
    </row>
    <row r="7" spans="1:5" x14ac:dyDescent="0.3">
      <c r="A7" s="23">
        <v>0.25</v>
      </c>
      <c r="B7" s="7">
        <f t="shared" ref="B7:E11" si="0">$B$4*$A7*B$6</f>
        <v>27.452624999999998</v>
      </c>
      <c r="C7" s="7">
        <f t="shared" si="0"/>
        <v>41.178937499999996</v>
      </c>
      <c r="D7" s="7">
        <f t="shared" si="0"/>
        <v>54.905249999999995</v>
      </c>
      <c r="E7" s="7">
        <f t="shared" si="0"/>
        <v>82.357874999999993</v>
      </c>
    </row>
    <row r="8" spans="1:5" x14ac:dyDescent="0.3">
      <c r="A8" s="23">
        <v>0.5</v>
      </c>
      <c r="B8" s="7">
        <f t="shared" si="0"/>
        <v>54.905249999999995</v>
      </c>
      <c r="C8" s="7">
        <f t="shared" si="0"/>
        <v>82.357874999999993</v>
      </c>
      <c r="D8" s="7">
        <f t="shared" si="0"/>
        <v>109.81049999999999</v>
      </c>
      <c r="E8" s="7">
        <f t="shared" si="0"/>
        <v>164.71574999999999</v>
      </c>
    </row>
    <row r="9" spans="1:5" x14ac:dyDescent="0.3">
      <c r="A9" s="23">
        <v>1</v>
      </c>
      <c r="B9" s="7">
        <f t="shared" si="0"/>
        <v>109.81049999999999</v>
      </c>
      <c r="C9" s="7">
        <f t="shared" si="0"/>
        <v>164.71574999999999</v>
      </c>
      <c r="D9" s="7">
        <f t="shared" si="0"/>
        <v>219.62099999999998</v>
      </c>
      <c r="E9" s="7">
        <f t="shared" si="0"/>
        <v>329.43149999999997</v>
      </c>
    </row>
    <row r="10" spans="1:5" x14ac:dyDescent="0.3">
      <c r="A10" s="23">
        <v>1.5</v>
      </c>
      <c r="B10" s="7">
        <f t="shared" si="0"/>
        <v>164.71574999999999</v>
      </c>
      <c r="C10" s="7">
        <f t="shared" si="0"/>
        <v>247.07362499999999</v>
      </c>
      <c r="D10" s="7">
        <f t="shared" si="0"/>
        <v>329.43149999999997</v>
      </c>
      <c r="E10" s="7">
        <f t="shared" si="0"/>
        <v>494.14724999999999</v>
      </c>
    </row>
    <row r="11" spans="1:5" x14ac:dyDescent="0.3">
      <c r="A11" s="23">
        <v>2</v>
      </c>
      <c r="B11" s="7">
        <f t="shared" si="0"/>
        <v>219.62099999999998</v>
      </c>
      <c r="C11" s="7">
        <f t="shared" si="0"/>
        <v>329.43149999999997</v>
      </c>
      <c r="D11" s="7">
        <f t="shared" si="0"/>
        <v>439.24199999999996</v>
      </c>
      <c r="E11" s="7">
        <f t="shared" si="0"/>
        <v>658.86299999999994</v>
      </c>
    </row>
    <row r="13" spans="1:5" x14ac:dyDescent="0.3">
      <c r="A13" s="10" t="s">
        <v>180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Léame</vt:lpstr>
      <vt:lpstr>SRI_LosRios</vt:lpstr>
      <vt:lpstr>INEC_LosRios</vt:lpstr>
      <vt:lpstr>Supuestos</vt:lpstr>
      <vt:lpstr>Demanda</vt:lpstr>
      <vt:lpstr>Oferta</vt:lpstr>
      <vt:lpstr>Brecha</vt:lpstr>
      <vt:lpstr>Sensibilidad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Gleiston C. Guerrero Ulloa</cp:lastModifiedBy>
  <dcterms:created xsi:type="dcterms:W3CDTF">2026-09-26T19:19:01Z</dcterms:created>
  <dcterms:modified xsi:type="dcterms:W3CDTF">2026-09-26T19:19:04Z</dcterms:modified>
</cp:coreProperties>
</file>